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8345" windowHeight="8175" tabRatio="893"/>
  </bookViews>
  <sheets>
    <sheet name="首页" sheetId="1" r:id="rId1"/>
    <sheet name="说明书" sheetId="2" state="veryHidden" r:id="rId2"/>
    <sheet name="Sheet3" sheetId="3" state="veryHidden" r:id="rId3"/>
    <sheet name="用户管理" sheetId="4" state="veryHidden" r:id="rId4"/>
    <sheet name="权限管理" sheetId="5" state="veryHidden" r:id="rId5"/>
    <sheet name="设置" sheetId="6" state="veryHidden" r:id="rId6"/>
    <sheet name="学生信息" sheetId="7" state="veryHidden" r:id="rId7"/>
    <sheet name="教师信息" sheetId="8" state="veryHidden" r:id="rId8"/>
    <sheet name="缴费记录" sheetId="9" state="veryHidden" r:id="rId9"/>
    <sheet name="打印单据" sheetId="17" state="veryHidden" r:id="rId10"/>
    <sheet name="课时统计" sheetId="10" state="veryHidden" r:id="rId11"/>
    <sheet name="收支明细" sheetId="11" state="veryHidden" r:id="rId12"/>
    <sheet name="欠费学员" sheetId="12" state="veryHidden" r:id="rId13"/>
    <sheet name="教师工资" sheetId="13" state="veryHidden" r:id="rId14"/>
    <sheet name="教师课时统计" sheetId="14" state="veryHidden" r:id="rId15"/>
    <sheet name="考勤表" sheetId="15" state="veryHidden" r:id="rId16"/>
    <sheet name="教师课表" sheetId="16" state="veryHidden" r:id="rId17"/>
  </sheets>
  <definedNames>
    <definedName name="_xlnm.Print_Area" localSheetId="9">打印单据!$C$4:$D$17</definedName>
    <definedName name="_xlnm.Print_Area" localSheetId="8">缴费记录!$B$3:$I$21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D3" authorId="0">
      <text>
        <r>
          <rPr>
            <b/>
            <sz val="9"/>
            <rFont val="宋体"/>
            <charset val="134"/>
          </rPr>
          <t>Administrator:</t>
        </r>
        <r>
          <rPr>
            <sz val="9"/>
            <rFont val="宋体"/>
            <charset val="134"/>
          </rPr>
          <t xml:space="preserve">
双击可以打印数据</t>
        </r>
      </text>
    </comment>
  </commentList>
</comments>
</file>

<file path=xl/comments2.xml><?xml version="1.0" encoding="utf-8"?>
<comments xmlns="http://schemas.openxmlformats.org/spreadsheetml/2006/main">
  <authors>
    <author>Administrator</author>
  </authors>
  <commentList>
    <comment ref="C3" authorId="0">
      <text/>
    </comment>
  </commentList>
</comments>
</file>

<file path=xl/sharedStrings.xml><?xml version="1.0" encoding="utf-8"?>
<sst xmlns="http://schemas.openxmlformats.org/spreadsheetml/2006/main" count="1420" uniqueCount="328">
  <si>
    <r>
      <rPr>
        <b/>
        <sz val="24"/>
        <color theme="4" tint="0.799829096346934"/>
        <rFont val="微软雅黑"/>
        <charset val="134"/>
      </rPr>
      <t>使用说明书</t>
    </r>
    <r>
      <rPr>
        <b/>
        <sz val="20"/>
        <color theme="4" tint="0.799829096346934"/>
        <rFont val="微软雅黑"/>
        <charset val="134"/>
      </rPr>
      <t xml:space="preserve">
</t>
    </r>
    <r>
      <rPr>
        <b/>
        <sz val="10"/>
        <color theme="4" tint="0.799829096346934"/>
        <rFont val="微软雅黑"/>
        <charset val="134"/>
      </rPr>
      <t>operating instruction</t>
    </r>
  </si>
  <si>
    <t>课时统计</t>
  </si>
  <si>
    <t>当前页:</t>
  </si>
  <si>
    <t>1.</t>
  </si>
  <si>
    <t>配置每一个账号的登录名、密码、电话等信息，新增账号信息后点击保存按钮即可将增加的信息保</t>
  </si>
  <si>
    <t>存起来，修改也是如此：修改好信息内容后，点击保存按钮将数据信息保存起来；</t>
  </si>
  <si>
    <t>2.</t>
  </si>
  <si>
    <t>若想删除某些数据，使用鼠标将该行的数据选中即可，点击删除按钮将选中的行数据删除；</t>
  </si>
  <si>
    <t>3.</t>
  </si>
  <si>
    <t>点击查询按钮：输入查询条件，即可显示符合条件的数据；</t>
  </si>
  <si>
    <t>4.</t>
  </si>
  <si>
    <t>点击刷新按钮：获取最新保存过的信息，若误改了数据内容，还没有按保存的情况下，可以点击刷</t>
  </si>
  <si>
    <t>新进行恢复数据；</t>
  </si>
  <si>
    <t>5.</t>
  </si>
  <si>
    <t>点击导出按钮：即可将该Sheet页中的数据另存为一张新的Excel表格保存到该表格同路径下；</t>
  </si>
  <si>
    <t>配置每一个账号的每个页面的增删改查权限，新增账号权限后点击保存按钮即可将增加的信息保存</t>
  </si>
  <si>
    <t>起来，修改也是如此：修改好信息内容后，点击保存按钮将数据信息保存起来；</t>
  </si>
  <si>
    <t>设置每一节课的状态及收款方式，新增课程状态后点击保存按钮即可将增加的信息保存起来，修改</t>
  </si>
  <si>
    <t>也是如此：修改好信息内容后，点击保存按钮将数据信息保存起来；</t>
  </si>
  <si>
    <t>配置每个学生/老师的基础信息，新增学生/老师信息后点击保存按钮即可将增加的信息保存起来，</t>
  </si>
  <si>
    <t>修改也是如此：修改好信息内容后，点击保存按钮将数据信息保存起来；</t>
  </si>
  <si>
    <t>配置每个学生的缴费记录，新增缴费信息后点击保存按钮即可将增加的信息保存起来，修改也是如</t>
  </si>
  <si>
    <t>此：修改好信息内容后，点击保存按钮将数据信息保存起来；</t>
  </si>
  <si>
    <t>6.</t>
  </si>
  <si>
    <t>点击打印按钮：即可将该Sheet页中的数据打印出来；</t>
  </si>
  <si>
    <t>配置每个学生所报课程的课时情况，新增课时情况后点击保存按钮即可将增加的信息保存起来，修</t>
  </si>
  <si>
    <t>改也是如此：修改好信息内容后，点击保存按钮将数据信息保存起来；</t>
  </si>
  <si>
    <t>配置每个学生每月的的出勤情况，新增出勤情况后点击保存按钮即可将增加的信息保存起来，修改</t>
  </si>
  <si>
    <t>点击批量出勤按钮：即可将所有学生的考勤信息都设置为出勤，避免繁琐操作；</t>
  </si>
  <si>
    <t>配置每个教师的课表信息，新增课表信息后点击保存按钮即可将增加的信息保存起来，修改也是如</t>
  </si>
  <si>
    <t>重庆旭森教育科技有限公司</t>
  </si>
  <si>
    <t>正常</t>
  </si>
  <si>
    <t>学生信息</t>
  </si>
  <si>
    <t>√</t>
  </si>
  <si>
    <t>教师信息</t>
  </si>
  <si>
    <t>权限管理</t>
  </si>
  <si>
    <t>用户管理</t>
  </si>
  <si>
    <t>缴费记录</t>
  </si>
  <si>
    <t>收支明细</t>
  </si>
  <si>
    <t>欠费学员</t>
  </si>
  <si>
    <t>教师工资</t>
  </si>
  <si>
    <t>教师课时统计</t>
  </si>
  <si>
    <t>考勤表</t>
  </si>
  <si>
    <t>教师课表</t>
  </si>
  <si>
    <t>设置</t>
  </si>
  <si>
    <t>▌ 用户管理</t>
  </si>
  <si>
    <t>登录名</t>
  </si>
  <si>
    <t>密码</t>
  </si>
  <si>
    <t>真实姓名</t>
  </si>
  <si>
    <t>年龄</t>
  </si>
  <si>
    <t>电话</t>
  </si>
  <si>
    <t>家庭住址</t>
  </si>
  <si>
    <t>身份证号</t>
  </si>
  <si>
    <t>学历</t>
  </si>
  <si>
    <t>状态</t>
  </si>
  <si>
    <t>yhltd</t>
  </si>
  <si>
    <t>yhltd1</t>
  </si>
  <si>
    <t>林玟书</t>
  </si>
  <si>
    <t xml:space="preserve">大连 </t>
  </si>
  <si>
    <t>222211188880909123</t>
  </si>
  <si>
    <t xml:space="preserve">研究生 </t>
  </si>
  <si>
    <t>大妈</t>
  </si>
  <si>
    <t>啊啊</t>
  </si>
  <si>
    <t>大连</t>
  </si>
  <si>
    <t>222233334444411112</t>
  </si>
  <si>
    <t>本科</t>
  </si>
  <si>
    <t>测试333</t>
  </si>
  <si>
    <t>123213123123123</t>
  </si>
  <si>
    <t>研究生</t>
  </si>
  <si>
    <t>ssa</t>
  </si>
  <si>
    <t>33333222222222111</t>
  </si>
  <si>
    <t>测试</t>
  </si>
  <si>
    <t>1</t>
  </si>
  <si>
    <t>我hwhyw</t>
  </si>
  <si>
    <t>▌ 权限管理</t>
  </si>
  <si>
    <t>姓名</t>
  </si>
  <si>
    <t>页面名称</t>
  </si>
  <si>
    <t>增</t>
  </si>
  <si>
    <t>删</t>
  </si>
  <si>
    <t>改</t>
  </si>
  <si>
    <t>查</t>
  </si>
  <si>
    <t xml:space="preserve"> </t>
  </si>
  <si>
    <t>刘曦</t>
  </si>
  <si>
    <t>▌ 设置</t>
  </si>
  <si>
    <t>课程列表</t>
  </si>
  <si>
    <t>责任教师</t>
  </si>
  <si>
    <t>状态设定</t>
  </si>
  <si>
    <t>缴费方式</t>
  </si>
  <si>
    <t>收入分类</t>
  </si>
  <si>
    <t>支出分类</t>
  </si>
  <si>
    <t>作文写作</t>
  </si>
  <si>
    <t>张吉惟</t>
  </si>
  <si>
    <t>意向预定</t>
  </si>
  <si>
    <t xml:space="preserve">刷卡    </t>
  </si>
  <si>
    <t xml:space="preserve">周边售卖     </t>
  </si>
  <si>
    <t>宣传支出</t>
  </si>
  <si>
    <t>口才演讲</t>
  </si>
  <si>
    <t>林国瑞</t>
  </si>
  <si>
    <t>在训</t>
  </si>
  <si>
    <t>转账</t>
  </si>
  <si>
    <t xml:space="preserve">学费 </t>
  </si>
  <si>
    <t xml:space="preserve">场地租金 </t>
  </si>
  <si>
    <t>健身</t>
  </si>
  <si>
    <t>暂停</t>
  </si>
  <si>
    <t>支付宝</t>
  </si>
  <si>
    <t xml:space="preserve">教材 </t>
  </si>
  <si>
    <t xml:space="preserve">水电费 </t>
  </si>
  <si>
    <t>跆拳道</t>
  </si>
  <si>
    <t>林雅南</t>
  </si>
  <si>
    <t>结课</t>
  </si>
  <si>
    <t>微信</t>
  </si>
  <si>
    <t xml:space="preserve">其他收入 </t>
  </si>
  <si>
    <t xml:space="preserve">教师工资 </t>
  </si>
  <si>
    <t>java</t>
  </si>
  <si>
    <t>刘鑫</t>
  </si>
  <si>
    <t>转学</t>
  </si>
  <si>
    <t>现金</t>
  </si>
  <si>
    <t>学费收入</t>
  </si>
  <si>
    <t>书本支出</t>
  </si>
  <si>
    <t>奥数</t>
  </si>
  <si>
    <t>昌茂</t>
  </si>
  <si>
    <t>思维</t>
  </si>
  <si>
    <t>刷卡</t>
  </si>
  <si>
    <t>场租金</t>
  </si>
  <si>
    <t>瑜伽</t>
  </si>
  <si>
    <t>苏珊</t>
  </si>
  <si>
    <t xml:space="preserve">课程   </t>
  </si>
  <si>
    <t xml:space="preserve">场地   </t>
  </si>
  <si>
    <t>化学</t>
  </si>
  <si>
    <t>王雪</t>
  </si>
  <si>
    <t>发票</t>
  </si>
  <si>
    <t>场地费</t>
  </si>
  <si>
    <t>苏漂</t>
  </si>
  <si>
    <t>学费</t>
  </si>
  <si>
    <t>场地费用</t>
  </si>
  <si>
    <t>▌ 学生信息</t>
  </si>
  <si>
    <t>性别</t>
  </si>
  <si>
    <t>报名日期</t>
  </si>
  <si>
    <t>培训课程</t>
  </si>
  <si>
    <t>班级</t>
  </si>
  <si>
    <t>已缴费</t>
  </si>
  <si>
    <t>未交费</t>
  </si>
  <si>
    <t>已上课时</t>
  </si>
  <si>
    <t>剩余课时</t>
  </si>
  <si>
    <t>总课时</t>
  </si>
  <si>
    <t>文件</t>
  </si>
  <si>
    <t>王柳</t>
  </si>
  <si>
    <t>女</t>
  </si>
  <si>
    <t>口才班</t>
  </si>
  <si>
    <t>123456789</t>
  </si>
  <si>
    <t>王瑞</t>
  </si>
  <si>
    <t>音乐</t>
  </si>
  <si>
    <t>琪一</t>
  </si>
  <si>
    <t>音乐班</t>
  </si>
  <si>
    <t>13225112512</t>
  </si>
  <si>
    <t>在校</t>
  </si>
  <si>
    <t>王月</t>
  </si>
  <si>
    <t>男</t>
  </si>
  <si>
    <t>112131321</t>
  </si>
  <si>
    <t>http://yhocn.cn:9088/jiaowu/1212.jpg</t>
  </si>
  <si>
    <t>孙玉</t>
  </si>
  <si>
    <t>12132412</t>
  </si>
  <si>
    <t>结束</t>
  </si>
  <si>
    <t>刘飞</t>
  </si>
  <si>
    <t>131245125345</t>
  </si>
  <si>
    <t>语文班</t>
  </si>
  <si>
    <t>15253748293</t>
  </si>
  <si>
    <t>王昊英</t>
  </si>
  <si>
    <t>数学班</t>
  </si>
  <si>
    <t>15285748394</t>
  </si>
  <si>
    <t>凌傲文</t>
  </si>
  <si>
    <t>运动班</t>
  </si>
  <si>
    <t>15123847293</t>
  </si>
  <si>
    <t>郑耀东</t>
  </si>
  <si>
    <t>编程班</t>
  </si>
  <si>
    <t>15385769486</t>
  </si>
  <si>
    <t>黄志伟</t>
  </si>
  <si>
    <t>15475938403</t>
  </si>
  <si>
    <t>高琨熊</t>
  </si>
  <si>
    <t>15375493844</t>
  </si>
  <si>
    <t>张三</t>
  </si>
  <si>
    <t>1班</t>
  </si>
  <si>
    <t>18888888888</t>
  </si>
  <si>
    <t>大熊</t>
  </si>
  <si>
    <t>123123333</t>
  </si>
  <si>
    <t>李牛</t>
  </si>
  <si>
    <t>17777777777</t>
  </si>
  <si>
    <t>王超</t>
  </si>
  <si>
    <t>144466463764</t>
  </si>
  <si>
    <t>妞妞</t>
  </si>
  <si>
    <t>188555588855</t>
  </si>
  <si>
    <t>王正</t>
  </si>
  <si>
    <t>13123435463</t>
  </si>
  <si>
    <t>▌ 教师信息</t>
  </si>
  <si>
    <t>教师姓名</t>
  </si>
  <si>
    <t>民族</t>
  </si>
  <si>
    <t>生日</t>
  </si>
  <si>
    <t>职位</t>
  </si>
  <si>
    <t>联系电话</t>
  </si>
  <si>
    <t>入职日期</t>
  </si>
  <si>
    <t>在职状态</t>
  </si>
  <si>
    <t>社保情况</t>
  </si>
  <si>
    <t>地址</t>
  </si>
  <si>
    <t>21028220010203231X</t>
  </si>
  <si>
    <t>汉</t>
  </si>
  <si>
    <t>教导主任</t>
  </si>
  <si>
    <t>离职</t>
  </si>
  <si>
    <t>停止缴纳</t>
  </si>
  <si>
    <t>210282200209012311</t>
  </si>
  <si>
    <t>教师</t>
  </si>
  <si>
    <t>在职</t>
  </si>
  <si>
    <t>正常缴纳</t>
  </si>
  <si>
    <t>21022219900405231X</t>
  </si>
  <si>
    <t>210282200112132311</t>
  </si>
  <si>
    <t>210282200109082310</t>
  </si>
  <si>
    <t>大专</t>
  </si>
  <si>
    <t>深圳</t>
  </si>
  <si>
    <t>21028220001124231X</t>
  </si>
  <si>
    <t>北京</t>
  </si>
  <si>
    <t>1212124</t>
  </si>
  <si>
    <t>苗族</t>
  </si>
  <si>
    <t>19999999256</t>
  </si>
  <si>
    <t>无</t>
  </si>
  <si>
    <t>243535343</t>
  </si>
  <si>
    <t>1433223</t>
  </si>
  <si>
    <t>羌</t>
  </si>
  <si>
    <t>江苏</t>
  </si>
  <si>
    <t>2311254654623</t>
  </si>
  <si>
    <t>满</t>
  </si>
  <si>
    <t>黑龙江</t>
  </si>
  <si>
    <t>1324241</t>
  </si>
  <si>
    <t>老师</t>
  </si>
  <si>
    <t>吉林省长春市</t>
  </si>
  <si>
    <t>▌ 缴费记录</t>
  </si>
  <si>
    <t>日期</t>
  </si>
  <si>
    <t>学生姓名</t>
  </si>
  <si>
    <t>定金金额</t>
  </si>
  <si>
    <t>学费金额</t>
  </si>
  <si>
    <t>收费人</t>
  </si>
  <si>
    <t>备注</t>
  </si>
  <si>
    <t>刘月</t>
  </si>
  <si>
    <t>全款已付</t>
  </si>
  <si>
    <t>赵栓柱</t>
  </si>
  <si>
    <t>校长</t>
  </si>
  <si>
    <t>刘老师</t>
  </si>
  <si>
    <t>测试备注</t>
  </si>
  <si>
    <t>张钠</t>
  </si>
  <si>
    <t>张芳</t>
  </si>
  <si>
    <t>定金</t>
  </si>
  <si>
    <t>张光</t>
  </si>
  <si>
    <t>王涛</t>
  </si>
  <si>
    <t>已付清</t>
  </si>
  <si>
    <t>▌ 打印单据</t>
  </si>
  <si>
    <t xml:space="preserve">刘飞	</t>
  </si>
  <si>
    <t>▌ 课时统计</t>
  </si>
  <si>
    <t>课时</t>
  </si>
  <si>
    <t>每节课时金额</t>
  </si>
  <si>
    <t>吉他</t>
  </si>
  <si>
    <t>赵拴住</t>
  </si>
  <si>
    <t>杨幂</t>
  </si>
  <si>
    <t>合十</t>
  </si>
  <si>
    <t>uete</t>
  </si>
  <si>
    <t>▌ 收支明细</t>
  </si>
  <si>
    <t>收入</t>
  </si>
  <si>
    <t>支出</t>
  </si>
  <si>
    <t>经手人</t>
  </si>
  <si>
    <t>金额</t>
  </si>
  <si>
    <t>分类</t>
  </si>
  <si>
    <t>微信收款</t>
  </si>
  <si>
    <t xml:space="preserve">宣传支出 </t>
  </si>
  <si>
    <t>当日金额统计</t>
  </si>
  <si>
    <t>现金收款</t>
  </si>
  <si>
    <t>现金付款</t>
  </si>
  <si>
    <t>当月金额统计</t>
  </si>
  <si>
    <t>教材</t>
  </si>
  <si>
    <t>水电费</t>
  </si>
  <si>
    <t>银行转账</t>
  </si>
  <si>
    <t>累计收入</t>
  </si>
  <si>
    <t>微信支付</t>
  </si>
  <si>
    <t>累计支出</t>
  </si>
  <si>
    <t>周边售卖</t>
  </si>
  <si>
    <t>场地</t>
  </si>
  <si>
    <t>累计结余</t>
  </si>
  <si>
    <t>h</t>
  </si>
  <si>
    <t>jl</t>
  </si>
  <si>
    <t>▌ 欠费学员</t>
  </si>
  <si>
    <t>欠费金额</t>
  </si>
  <si>
    <t>报名时间</t>
  </si>
  <si>
    <t>刘天一</t>
  </si>
  <si>
    <t>绘画</t>
  </si>
  <si>
    <t>李鸿飞</t>
  </si>
  <si>
    <t>张蕊</t>
  </si>
  <si>
    <t>钢琴</t>
  </si>
  <si>
    <t>方锐</t>
  </si>
  <si>
    <t>测试学生</t>
  </si>
  <si>
    <t>▌ 教师工资</t>
  </si>
  <si>
    <t>课程名称</t>
  </si>
  <si>
    <t>上课课时</t>
  </si>
  <si>
    <t>每节金额</t>
  </si>
  <si>
    <t>工资核算</t>
  </si>
  <si>
    <t>▌ 教师课时统计</t>
  </si>
  <si>
    <t>▌ 考勤表</t>
  </si>
  <si>
    <t>年</t>
  </si>
  <si>
    <t>月</t>
  </si>
  <si>
    <t>1月</t>
  </si>
  <si>
    <t>出勤</t>
  </si>
  <si>
    <t>病假</t>
  </si>
  <si>
    <t>缺勤</t>
  </si>
  <si>
    <t>2月</t>
  </si>
  <si>
    <t>3月</t>
  </si>
  <si>
    <t>请假</t>
  </si>
  <si>
    <t>5月</t>
  </si>
  <si>
    <t>7月</t>
  </si>
  <si>
    <t>8月</t>
  </si>
  <si>
    <t>赵拴柱</t>
  </si>
  <si>
    <t>11月</t>
  </si>
  <si>
    <t>10月</t>
  </si>
  <si>
    <t>9月</t>
  </si>
  <si>
    <t>张四</t>
  </si>
  <si>
    <t>▌ 教师课表</t>
  </si>
  <si>
    <t>课程</t>
  </si>
  <si>
    <t>星期</t>
  </si>
  <si>
    <t>星期三</t>
  </si>
  <si>
    <t>星期二</t>
  </si>
  <si>
    <t>测试课程1</t>
  </si>
  <si>
    <t>星期五</t>
  </si>
  <si>
    <t>星期一</t>
  </si>
  <si>
    <t>AAA</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</si>
</sst>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42">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29096346934"/>
      <name val="微软雅黑"/>
      <charset val="134"/>
    </font>
    <font>
      <b/>
      <sz val="20"/>
      <color theme="4" tint="0.799829096346934"/>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29096346934"/>
      <name val="微软雅黑"/>
      <charset val="134"/>
    </font>
    <font>
      <b/>
      <sz val="9"/>
      <name val="宋体"/>
      <charset val="134"/>
    </font>
    <font>
      <sz val="9"/>
      <name val="宋体"/>
      <charset val="134"/>
    </font>
    <font>
      <sz val="10"/>
      <name val="宋体"/>
      <charset val="134"/>
    </font>
  </fonts>
  <fills count="39">
    <fill>
      <patternFill patternType="none"/>
    </fill>
    <fill>
      <patternFill patternType="gray125"/>
    </fill>
    <fill>
      <patternFill patternType="solid">
        <fgColor theme="8" tint="-0.499984740745262"/>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599993896298105"/>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theme="0"/>
      </left>
      <right style="thin">
        <color theme="0"/>
      </right>
      <top style="thin">
        <color theme="0"/>
      </top>
      <bottom style="thin">
        <color theme="0"/>
      </bottom>
      <diagonal/>
    </border>
    <border>
      <left style="thin">
        <color theme="0" tint="-0.149998474074526"/>
      </left>
      <right style="thin">
        <color theme="0" tint="-0.149998474074526"/>
      </right>
      <top style="thin">
        <color theme="0" tint="-0.149998474074526"/>
      </top>
      <bottom style="thin">
        <color theme="0" tint="-0.149998474074526"/>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6" fillId="0" borderId="0" applyFont="0" applyFill="0" applyBorder="0" applyAlignment="0" applyProtection="0">
      <alignment vertical="center"/>
    </xf>
    <xf numFmtId="44" fontId="6" fillId="0" borderId="0" applyFont="0" applyFill="0" applyBorder="0" applyAlignment="0" applyProtection="0">
      <alignment vertical="center"/>
    </xf>
    <xf numFmtId="9" fontId="6" fillId="0" borderId="0" applyFont="0" applyFill="0" applyBorder="0" applyAlignment="0" applyProtection="0">
      <alignment vertical="center"/>
    </xf>
    <xf numFmtId="41" fontId="6" fillId="0" borderId="0" applyFont="0" applyFill="0" applyBorder="0" applyAlignment="0" applyProtection="0">
      <alignment vertical="center"/>
    </xf>
    <xf numFmtId="42" fontId="6" fillId="0" borderId="0" applyFon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6" fillId="9" borderId="5"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6" applyNumberFormat="0" applyFill="0" applyAlignment="0" applyProtection="0">
      <alignment vertical="center"/>
    </xf>
    <xf numFmtId="0" fontId="25" fillId="0" borderId="6" applyNumberFormat="0" applyFill="0" applyAlignment="0" applyProtection="0">
      <alignment vertical="center"/>
    </xf>
    <xf numFmtId="0" fontId="26" fillId="0" borderId="7" applyNumberFormat="0" applyFill="0" applyAlignment="0" applyProtection="0">
      <alignment vertical="center"/>
    </xf>
    <xf numFmtId="0" fontId="26" fillId="0" borderId="0" applyNumberFormat="0" applyFill="0" applyBorder="0" applyAlignment="0" applyProtection="0">
      <alignment vertical="center"/>
    </xf>
    <xf numFmtId="0" fontId="27" fillId="10" borderId="8" applyNumberFormat="0" applyAlignment="0" applyProtection="0">
      <alignment vertical="center"/>
    </xf>
    <xf numFmtId="0" fontId="28" fillId="11" borderId="9" applyNumberFormat="0" applyAlignment="0" applyProtection="0">
      <alignment vertical="center"/>
    </xf>
    <xf numFmtId="0" fontId="29" fillId="11" borderId="8" applyNumberFormat="0" applyAlignment="0" applyProtection="0">
      <alignment vertical="center"/>
    </xf>
    <xf numFmtId="0" fontId="30" fillId="12" borderId="10" applyNumberFormat="0" applyAlignment="0" applyProtection="0">
      <alignment vertical="center"/>
    </xf>
    <xf numFmtId="0" fontId="31" fillId="0" borderId="11" applyNumberFormat="0" applyFill="0" applyAlignment="0" applyProtection="0">
      <alignment vertical="center"/>
    </xf>
    <xf numFmtId="0" fontId="32" fillId="0" borderId="12" applyNumberFormat="0" applyFill="0" applyAlignment="0" applyProtection="0">
      <alignment vertical="center"/>
    </xf>
    <xf numFmtId="0" fontId="33" fillId="13" borderId="0" applyNumberFormat="0" applyBorder="0" applyAlignment="0" applyProtection="0">
      <alignment vertical="center"/>
    </xf>
    <xf numFmtId="0" fontId="34" fillId="14" borderId="0" applyNumberFormat="0" applyBorder="0" applyAlignment="0" applyProtection="0">
      <alignment vertical="center"/>
    </xf>
    <xf numFmtId="0" fontId="35" fillId="15" borderId="0" applyNumberFormat="0" applyBorder="0" applyAlignment="0" applyProtection="0">
      <alignment vertical="center"/>
    </xf>
    <xf numFmtId="0" fontId="36" fillId="16" borderId="0" applyNumberFormat="0" applyBorder="0" applyAlignment="0" applyProtection="0">
      <alignment vertical="center"/>
    </xf>
    <xf numFmtId="0" fontId="37" fillId="17" borderId="0" applyNumberFormat="0" applyBorder="0" applyAlignment="0" applyProtection="0">
      <alignment vertical="center"/>
    </xf>
    <xf numFmtId="0" fontId="37" fillId="8" borderId="0" applyNumberFormat="0" applyBorder="0" applyAlignment="0" applyProtection="0">
      <alignment vertical="center"/>
    </xf>
    <xf numFmtId="0" fontId="36" fillId="18" borderId="0" applyNumberFormat="0" applyBorder="0" applyAlignment="0" applyProtection="0">
      <alignment vertical="center"/>
    </xf>
    <xf numFmtId="0" fontId="36" fillId="19" borderId="0" applyNumberFormat="0" applyBorder="0" applyAlignment="0" applyProtection="0">
      <alignment vertical="center"/>
    </xf>
    <xf numFmtId="0" fontId="37" fillId="20" borderId="0" applyNumberFormat="0" applyBorder="0" applyAlignment="0" applyProtection="0">
      <alignment vertical="center"/>
    </xf>
    <xf numFmtId="0" fontId="37" fillId="21" borderId="0" applyNumberFormat="0" applyBorder="0" applyAlignment="0" applyProtection="0">
      <alignment vertical="center"/>
    </xf>
    <xf numFmtId="0" fontId="36" fillId="22" borderId="0" applyNumberFormat="0" applyBorder="0" applyAlignment="0" applyProtection="0">
      <alignment vertical="center"/>
    </xf>
    <xf numFmtId="0" fontId="36" fillId="23" borderId="0" applyNumberFormat="0" applyBorder="0" applyAlignment="0" applyProtection="0">
      <alignment vertical="center"/>
    </xf>
    <xf numFmtId="0" fontId="37" fillId="24" borderId="0" applyNumberFormat="0" applyBorder="0" applyAlignment="0" applyProtection="0">
      <alignment vertical="center"/>
    </xf>
    <xf numFmtId="0" fontId="37"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7" fillId="28" borderId="0" applyNumberFormat="0" applyBorder="0" applyAlignment="0" applyProtection="0">
      <alignment vertical="center"/>
    </xf>
    <xf numFmtId="0" fontId="37"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7" fillId="32" borderId="0" applyNumberFormat="0" applyBorder="0" applyAlignment="0" applyProtection="0">
      <alignment vertical="center"/>
    </xf>
    <xf numFmtId="0" fontId="37"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7" fillId="36" borderId="0" applyNumberFormat="0" applyBorder="0" applyAlignment="0" applyProtection="0">
      <alignment vertical="center"/>
    </xf>
    <xf numFmtId="0" fontId="37" fillId="37" borderId="0" applyNumberFormat="0" applyBorder="0" applyAlignment="0" applyProtection="0">
      <alignment vertical="center"/>
    </xf>
    <xf numFmtId="0" fontId="36" fillId="38" borderId="0" applyNumberFormat="0" applyBorder="0" applyAlignment="0" applyProtection="0">
      <alignment vertical="center"/>
    </xf>
  </cellStyleXfs>
  <cellXfs count="48">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176" fontId="1" fillId="0" borderId="0" xfId="0" applyNumberFormat="1" applyFont="1" applyAlignment="1">
      <alignment horizontal="center" vertical="center"/>
    </xf>
    <xf numFmtId="0" fontId="4" fillId="2" borderId="1" xfId="0" applyNumberFormat="1" applyFont="1" applyFill="1" applyBorder="1" applyAlignment="1">
      <alignment horizontal="center" vertical="center"/>
    </xf>
    <xf numFmtId="0" fontId="4" fillId="2" borderId="2" xfId="0" applyNumberFormat="1" applyFont="1" applyFill="1" applyBorder="1" applyAlignment="1">
      <alignment horizontal="center" vertical="center"/>
    </xf>
    <xf numFmtId="0" fontId="2" fillId="0" borderId="2" xfId="0" applyNumberFormat="1" applyFont="1" applyBorder="1" applyAlignment="1">
      <alignment horizontal="center" vertical="center"/>
    </xf>
    <xf numFmtId="0" fontId="2" fillId="0" borderId="0" xfId="0" applyNumberFormat="1" applyFont="1" applyAlignment="1">
      <alignment horizontal="center" vertical="center"/>
    </xf>
    <xf numFmtId="176" fontId="2" fillId="0" borderId="3" xfId="0" applyNumberFormat="1" applyFont="1" applyBorder="1" applyAlignment="1">
      <alignment horizontal="center" vertical="center"/>
    </xf>
    <xf numFmtId="176" fontId="2" fillId="0" borderId="4" xfId="0" applyNumberFormat="1" applyFont="1" applyBorder="1" applyAlignment="1">
      <alignment horizontal="center" vertical="center"/>
    </xf>
    <xf numFmtId="0" fontId="2" fillId="0" borderId="3" xfId="0" applyNumberFormat="1" applyFont="1" applyBorder="1" applyAlignment="1">
      <alignment horizontal="center" vertical="center"/>
    </xf>
    <xf numFmtId="0" fontId="2" fillId="0" borderId="4" xfId="0" applyNumberFormat="1" applyFont="1" applyBorder="1" applyAlignment="1">
      <alignment horizontal="center" vertical="center"/>
    </xf>
    <xf numFmtId="49" fontId="1" fillId="0" borderId="0" xfId="0" applyNumberFormat="1" applyFont="1" applyAlignment="1">
      <alignment horizontal="center" vertical="center"/>
    </xf>
    <xf numFmtId="0" fontId="1" fillId="0" borderId="0" xfId="0" applyNumberFormat="1" applyFont="1" applyAlignment="1">
      <alignment horizontal="center" vertical="center" wrapText="1"/>
    </xf>
    <xf numFmtId="58" fontId="1" fillId="0" borderId="0" xfId="0" applyNumberFormat="1" applyFont="1" applyAlignment="1">
      <alignment horizontal="center" vertical="center"/>
    </xf>
    <xf numFmtId="14" fontId="0" fillId="0" borderId="0" xfId="0" applyNumberFormat="1">
      <alignment vertical="center"/>
    </xf>
    <xf numFmtId="0" fontId="5" fillId="3" borderId="0" xfId="0" applyFont="1" applyFill="1" applyAlignment="1" applyProtection="1">
      <alignment horizontal="left" vertical="center"/>
    </xf>
    <xf numFmtId="0" fontId="6" fillId="4" borderId="0" xfId="0" applyFont="1" applyFill="1" applyAlignment="1" applyProtection="1">
      <alignment vertical="center"/>
    </xf>
    <xf numFmtId="0" fontId="7" fillId="4" borderId="0" xfId="0" applyFont="1" applyFill="1" applyAlignment="1" applyProtection="1">
      <alignment horizontal="left" vertical="center"/>
    </xf>
    <xf numFmtId="0" fontId="7" fillId="5" borderId="0" xfId="0" applyFont="1" applyFill="1" applyAlignment="1" applyProtection="1">
      <alignment horizontal="left" vertical="center"/>
    </xf>
    <xf numFmtId="49" fontId="8" fillId="5" borderId="0" xfId="0" applyNumberFormat="1" applyFont="1" applyFill="1" applyAlignment="1" applyProtection="1">
      <alignment horizontal="right" vertical="center"/>
    </xf>
    <xf numFmtId="0" fontId="9" fillId="5" borderId="0" xfId="0" applyFont="1" applyFill="1" applyAlignment="1" applyProtection="1">
      <alignment horizontal="left" vertical="center"/>
    </xf>
    <xf numFmtId="0" fontId="1" fillId="3" borderId="0" xfId="0" applyFont="1" applyFill="1" applyAlignment="1" applyProtection="1">
      <alignment horizontal="center" vertical="center"/>
    </xf>
    <xf numFmtId="49" fontId="10" fillId="3" borderId="0" xfId="0" applyNumberFormat="1" applyFont="1" applyFill="1" applyAlignment="1" applyProtection="1">
      <alignment horizontal="left" vertical="center"/>
    </xf>
    <xf numFmtId="49" fontId="5" fillId="3" borderId="0" xfId="0" applyNumberFormat="1" applyFont="1" applyFill="1" applyAlignment="1" applyProtection="1">
      <alignment horizontal="left" vertical="center"/>
    </xf>
    <xf numFmtId="49" fontId="11" fillId="4" borderId="0" xfId="0" applyNumberFormat="1" applyFont="1" applyFill="1" applyAlignment="1" applyProtection="1">
      <alignment horizontal="right" vertical="center"/>
    </xf>
    <xf numFmtId="49" fontId="11" fillId="5" borderId="0" xfId="0" applyNumberFormat="1" applyFont="1" applyFill="1" applyAlignment="1" applyProtection="1">
      <alignment horizontal="center" vertical="center"/>
    </xf>
    <xf numFmtId="49" fontId="12" fillId="6" borderId="0" xfId="0" applyNumberFormat="1" applyFont="1" applyFill="1" applyAlignment="1" applyProtection="1">
      <alignment horizontal="center" vertical="center" wrapText="1"/>
    </xf>
    <xf numFmtId="0" fontId="13" fillId="6" borderId="0" xfId="0" applyFont="1" applyFill="1" applyAlignment="1" applyProtection="1">
      <alignment horizontal="center" vertical="center" wrapText="1"/>
    </xf>
    <xf numFmtId="177" fontId="14" fillId="6" borderId="0" xfId="0" applyNumberFormat="1" applyFont="1" applyFill="1" applyAlignment="1" applyProtection="1">
      <alignment horizontal="right" vertical="center" indent="1"/>
    </xf>
    <xf numFmtId="0" fontId="15" fillId="6" borderId="0" xfId="0" applyFont="1" applyFill="1" applyAlignment="1" applyProtection="1">
      <alignment horizontal="center" vertical="center" wrapText="1"/>
    </xf>
    <xf numFmtId="49" fontId="13" fillId="6" borderId="0" xfId="0" applyNumberFormat="1" applyFont="1" applyFill="1" applyAlignment="1" applyProtection="1">
      <alignment horizontal="center" vertical="center" wrapText="1"/>
    </xf>
    <xf numFmtId="0" fontId="15" fillId="6" borderId="0" xfId="0" applyFont="1" applyFill="1" applyAlignment="1" applyProtection="1">
      <alignment vertical="center" wrapText="1"/>
    </xf>
    <xf numFmtId="49" fontId="8" fillId="7" borderId="0" xfId="0" applyNumberFormat="1" applyFont="1" applyFill="1" applyAlignment="1" applyProtection="1">
      <alignment horizontal="center" vertical="center" wrapText="1"/>
    </xf>
    <xf numFmtId="0" fontId="4" fillId="7" borderId="0" xfId="0" applyFont="1" applyFill="1" applyAlignment="1" applyProtection="1">
      <alignment horizontal="center" vertical="center" wrapText="1"/>
    </xf>
    <xf numFmtId="0" fontId="9" fillId="7" borderId="0" xfId="0" applyFont="1" applyFill="1" applyAlignment="1" applyProtection="1">
      <alignment horizontal="left" vertical="center"/>
    </xf>
    <xf numFmtId="0" fontId="2" fillId="8" borderId="0" xfId="0" applyFont="1" applyFill="1" applyAlignment="1">
      <alignment vertical="center"/>
    </xf>
    <xf numFmtId="0" fontId="2" fillId="8" borderId="0" xfId="0" applyFont="1" applyFill="1" applyAlignment="1" applyProtection="1">
      <alignment vertical="center"/>
      <protection locked="0"/>
    </xf>
    <xf numFmtId="0" fontId="16" fillId="8" borderId="0" xfId="0" applyFont="1" applyFill="1" applyAlignment="1">
      <alignment vertical="center"/>
    </xf>
    <xf numFmtId="0" fontId="17" fillId="8" borderId="0" xfId="0" applyFont="1" applyFill="1" applyAlignment="1">
      <alignment vertical="center"/>
    </xf>
    <xf numFmtId="0" fontId="17" fillId="8" borderId="0" xfId="0" applyFont="1" applyFill="1" applyBorder="1" applyAlignment="1">
      <alignment vertical="center"/>
    </xf>
    <xf numFmtId="0" fontId="18" fillId="8" borderId="0" xfId="0" applyFont="1" applyFill="1" applyAlignment="1">
      <alignment vertical="center"/>
    </xf>
    <xf numFmtId="0" fontId="18" fillId="8" borderId="0" xfId="0" applyFont="1" applyFill="1" applyBorder="1" applyAlignment="1">
      <alignment vertical="center"/>
    </xf>
    <xf numFmtId="0" fontId="2" fillId="8"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0" tint="-0.0499893185216834"/>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openxmlformats.org/officeDocument/2006/relationships/styles" Target="styles.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customXml" Target="../customXml/item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收支汇总</a:t>
            </a:r>
          </a:p>
        </c:rich>
      </c:tx>
      <c:layout/>
      <c:overlay val="0"/>
      <c:spPr>
        <a:noFill/>
        <a:ln>
          <a:noFill/>
        </a:ln>
        <a:effectLst/>
      </c:spPr>
    </c:title>
    <c:autoTitleDeleted val="0"/>
    <c:plotArea>
      <c:layout/>
      <c:barChart>
        <c:barDir val="col"/>
        <c:grouping val="clustered"/>
        <c:varyColors val="0"/>
        <c:ser>
          <c:idx val="0"/>
          <c:order val="0"/>
          <c:tx>
            <c:strRef>
              <c:f>收支明细!$L$7</c:f>
              <c:strCache>
                <c:ptCount val="1"/>
                <c:pt idx="0">
                  <c:v>累计收入</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收支明细!$M$7</c:f>
              <c:numCache>
                <c:formatCode>General</c:formatCode>
                <c:ptCount val="1"/>
                <c:pt idx="0">
                  <c:v>45502</c:v>
                </c:pt>
              </c:numCache>
            </c:numRef>
          </c:val>
        </c:ser>
        <c:ser>
          <c:idx val="1"/>
          <c:order val="1"/>
          <c:tx>
            <c:strRef>
              <c:f>收支明细!$L$8</c:f>
              <c:strCache>
                <c:ptCount val="1"/>
                <c:pt idx="0">
                  <c:v>累计支出</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收支明细!$M$8</c:f>
              <c:numCache>
                <c:formatCode>General</c:formatCode>
                <c:ptCount val="1"/>
                <c:pt idx="0">
                  <c:v>6302</c:v>
                </c:pt>
              </c:numCache>
            </c:numRef>
          </c:val>
        </c:ser>
        <c:ser>
          <c:idx val="2"/>
          <c:order val="2"/>
          <c:tx>
            <c:strRef>
              <c:f>收支明细!$L$9</c:f>
              <c:strCache>
                <c:ptCount val="1"/>
                <c:pt idx="0">
                  <c:v>学费收入</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收支明细!$M$9</c:f>
              <c:numCache>
                <c:formatCode>General</c:formatCode>
                <c:ptCount val="1"/>
                <c:pt idx="0">
                  <c:v>6000</c:v>
                </c:pt>
              </c:numCache>
            </c:numRef>
          </c:val>
        </c:ser>
        <c:ser>
          <c:idx val="3"/>
          <c:order val="3"/>
          <c:tx>
            <c:strRef>
              <c:f>收支明细!$L$10</c:f>
              <c:strCache>
                <c:ptCount val="1"/>
                <c:pt idx="0">
                  <c:v>累计结余</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收支明细!$M$10</c:f>
              <c:numCache>
                <c:formatCode>General</c:formatCode>
                <c:ptCount val="1"/>
                <c:pt idx="0">
                  <c:v>39200</c:v>
                </c:pt>
              </c:numCache>
            </c:numRef>
          </c:val>
        </c:ser>
        <c:dLbls>
          <c:showLegendKey val="0"/>
          <c:showVal val="1"/>
          <c:showCatName val="0"/>
          <c:showSerName val="0"/>
          <c:showPercent val="0"/>
          <c:showBubbleSize val="0"/>
        </c:dLbls>
        <c:gapWidth val="100"/>
        <c:overlap val="-24"/>
        <c:axId val="408746072"/>
        <c:axId val="408750384"/>
      </c:barChart>
      <c:catAx>
        <c:axId val="408746072"/>
        <c:scaling>
          <c:orientation val="minMax"/>
        </c:scaling>
        <c:delete val="1"/>
        <c:axPos val="b"/>
        <c:majorTickMark val="none"/>
        <c:minorTickMark val="none"/>
        <c:tickLblPos val="nextTo"/>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50384"/>
        <c:crosses val="autoZero"/>
        <c:auto val="1"/>
        <c:lblAlgn val="ctr"/>
        <c:lblOffset val="100"/>
        <c:noMultiLvlLbl val="0"/>
      </c:catAx>
      <c:valAx>
        <c:axId val="4087503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46072"/>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extLst>
      <c:ext uri="{0b15fc19-7d7d-44ad-8c2d-2c3a37ce22c3}">
        <chartProps xmlns="https://web.wps.cn/et/2018/main" chartId="{49b8f119-7134-4d2e-9c93-483fc34cfb25}"/>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3398;&#29983;&#20449;&#24687;!A1"/><Relationship Id="rId8" Type="http://schemas.openxmlformats.org/officeDocument/2006/relationships/hyperlink" Target="#&#35774;&#32622;!A1"/><Relationship Id="rId7" Type="http://schemas.openxmlformats.org/officeDocument/2006/relationships/hyperlink" Target="#&#26435;&#38480;&#31649;&#29702;!A1"/><Relationship Id="rId6" Type="http://schemas.openxmlformats.org/officeDocument/2006/relationships/hyperlink" Target="#&#29992;&#25143;&#31649;&#29702;!A1"/><Relationship Id="rId5" Type="http://schemas.openxmlformats.org/officeDocument/2006/relationships/hyperlink" Target="#&#35828;&#26126;&#20070;!A1"/><Relationship Id="rId4" Type="http://schemas.openxmlformats.org/officeDocument/2006/relationships/hyperlink" Target="#&#32564;&#36153;&#35760;&#24405;!A1"/><Relationship Id="rId3" Type="http://schemas.openxmlformats.org/officeDocument/2006/relationships/hyperlink" Target="#&#25945;&#24072;&#20449;&#24687;!A1"/><Relationship Id="rId2" Type="http://schemas.openxmlformats.org/officeDocument/2006/relationships/hyperlink" Target="#&#25910;&#25903;&#26126;&#32454;!A1"/><Relationship Id="rId14" Type="http://schemas.openxmlformats.org/officeDocument/2006/relationships/hyperlink" Target="#&#25945;&#24072;&#24037;&#36164;!A1"/><Relationship Id="rId13" Type="http://schemas.openxmlformats.org/officeDocument/2006/relationships/hyperlink" Target="#&#27424;&#36153;&#23398;&#21592;!A1"/><Relationship Id="rId12" Type="http://schemas.openxmlformats.org/officeDocument/2006/relationships/hyperlink" Target="#&#32771;&#21220;&#34920;!A1"/><Relationship Id="rId11" Type="http://schemas.openxmlformats.org/officeDocument/2006/relationships/hyperlink" Target="#&#25945;&#24072;&#35838;&#26102;&#32479;&#35745;!A1"/><Relationship Id="rId10" Type="http://schemas.openxmlformats.org/officeDocument/2006/relationships/hyperlink" Target="#&#25945;&#24072;&#35838;&#34920;!A1"/><Relationship Id="rId1" Type="http://schemas.openxmlformats.org/officeDocument/2006/relationships/hyperlink" Target="#&#35838;&#26102;&#32479;&#3574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6.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520"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教务管理系统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247650</xdr:colOff>
      <xdr:row>8</xdr:row>
      <xdr:rowOff>27305</xdr:rowOff>
    </xdr:from>
    <xdr:to>
      <xdr:col>40</xdr:col>
      <xdr:colOff>67945</xdr:colOff>
      <xdr:row>11</xdr:row>
      <xdr:rowOff>147955</xdr:rowOff>
    </xdr:to>
    <xdr:grpSp>
      <xdr:nvGrpSpPr>
        <xdr:cNvPr id="26" name="组合 25"/>
        <xdr:cNvGrpSpPr/>
      </xdr:nvGrpSpPr>
      <xdr:grpSpPr>
        <a:xfrm>
          <a:off x="3562350" y="1764665"/>
          <a:ext cx="7554595" cy="772160"/>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课时统计</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收支明细</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教师信息</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缴费记录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247650</xdr:colOff>
      <xdr:row>3</xdr:row>
      <xdr:rowOff>161925</xdr:rowOff>
    </xdr:from>
    <xdr:to>
      <xdr:col>40</xdr:col>
      <xdr:colOff>67945</xdr:colOff>
      <xdr:row>7</xdr:row>
      <xdr:rowOff>39370</xdr:rowOff>
    </xdr:to>
    <xdr:grpSp>
      <xdr:nvGrpSpPr>
        <xdr:cNvPr id="32" name="组合 31"/>
        <xdr:cNvGrpSpPr/>
      </xdr:nvGrpSpPr>
      <xdr:grpSpPr>
        <a:xfrm>
          <a:off x="3562350" y="813435"/>
          <a:ext cx="7554595" cy="74612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en-US" altLang="zh-CN"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权限管理</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学生信息</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247650</xdr:colOff>
      <xdr:row>17</xdr:row>
      <xdr:rowOff>27305</xdr:rowOff>
    </xdr:from>
    <xdr:to>
      <xdr:col>18</xdr:col>
      <xdr:colOff>219710</xdr:colOff>
      <xdr:row>20</xdr:row>
      <xdr:rowOff>147955</xdr:rowOff>
    </xdr:to>
    <xdr:sp>
      <xdr:nvSpPr>
        <xdr:cNvPr id="6" name="圆角矩形 4">
          <a:hlinkClick xmlns:r="http://schemas.openxmlformats.org/officeDocument/2006/relationships" r:id="rId10"/>
        </xdr:cNvPr>
        <xdr:cNvSpPr/>
      </xdr:nvSpPr>
      <xdr:spPr>
        <a:xfrm>
          <a:off x="3562350" y="3719195"/>
          <a:ext cx="1629410" cy="7721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教师课表</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247650</xdr:colOff>
      <xdr:row>12</xdr:row>
      <xdr:rowOff>135890</xdr:rowOff>
    </xdr:from>
    <xdr:to>
      <xdr:col>40</xdr:col>
      <xdr:colOff>67945</xdr:colOff>
      <xdr:row>16</xdr:row>
      <xdr:rowOff>39370</xdr:rowOff>
    </xdr:to>
    <xdr:grpSp>
      <xdr:nvGrpSpPr>
        <xdr:cNvPr id="8" name="组合 7"/>
        <xdr:cNvGrpSpPr/>
      </xdr:nvGrpSpPr>
      <xdr:grpSpPr>
        <a:xfrm>
          <a:off x="3562350" y="2741930"/>
          <a:ext cx="7554595" cy="772160"/>
          <a:chOff x="4232" y="4639"/>
          <a:chExt cx="10579" cy="956"/>
        </a:xfrm>
      </xdr:grpSpPr>
      <xdr:sp>
        <xdr:nvSpPr>
          <xdr:cNvPr id="10" name="圆角矩形 14">
            <a:hlinkClick xmlns:r="http://schemas.openxmlformats.org/officeDocument/2006/relationships" r:id="rId1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教师课时统计</a:t>
            </a:r>
            <a:endParaRPr lang="zh-CN" altLang="en-US" sz="1600" b="1">
              <a:latin typeface="微软雅黑" panose="020B0503020204020204" charset="-122"/>
              <a:ea typeface="微软雅黑" panose="020B0503020204020204" charset="-122"/>
            </a:endParaRPr>
          </a:p>
        </xdr:txBody>
      </xdr:sp>
      <xdr:sp>
        <xdr:nvSpPr>
          <xdr:cNvPr id="11" name="圆角矩形 16">
            <a:hlinkClick xmlns:r="http://schemas.openxmlformats.org/officeDocument/2006/relationships" r:id="rId1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考勤表</a:t>
            </a:r>
            <a:endParaRPr lang="zh-CN" altLang="en-US" sz="1600" b="1">
              <a:latin typeface="微软雅黑" panose="020B0503020204020204" charset="-122"/>
              <a:ea typeface="微软雅黑" panose="020B0503020204020204" charset="-122"/>
            </a:endParaRPr>
          </a:p>
        </xdr:txBody>
      </xdr:sp>
      <xdr:sp>
        <xdr:nvSpPr>
          <xdr:cNvPr id="12" name="圆角矩形 4">
            <a:hlinkClick xmlns:r="http://schemas.openxmlformats.org/officeDocument/2006/relationships" r:id="rId1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欠费学员</a:t>
            </a:r>
            <a:endParaRPr lang="zh-CN" altLang="en-US" sz="1600" b="1">
              <a:latin typeface="微软雅黑" panose="020B0503020204020204" charset="-122"/>
              <a:ea typeface="微软雅黑" panose="020B0503020204020204" charset="-122"/>
            </a:endParaRPr>
          </a:p>
        </xdr:txBody>
      </xdr:sp>
      <xdr:sp>
        <xdr:nvSpPr>
          <xdr:cNvPr id="13" name="圆角矩形 8">
            <a:hlinkClick xmlns:r="http://schemas.openxmlformats.org/officeDocument/2006/relationships" r:id="rId1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教师工资</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8</xdr:col>
      <xdr:colOff>151765</xdr:colOff>
      <xdr:row>0</xdr:row>
      <xdr:rowOff>167640</xdr:rowOff>
    </xdr:from>
    <xdr:to>
      <xdr:col>11</xdr:col>
      <xdr:colOff>387350</xdr:colOff>
      <xdr:row>0</xdr:row>
      <xdr:rowOff>574040</xdr:rowOff>
    </xdr:to>
    <xdr:sp macro="[0]!OpenWebPage">
      <xdr:nvSpPr>
        <xdr:cNvPr id="11" name="圆角矩形 13"/>
        <xdr:cNvSpPr/>
      </xdr:nvSpPr>
      <xdr:spPr>
        <a:xfrm>
          <a:off x="9524365" y="16764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使用视频</a:t>
          </a:r>
          <a:endParaRPr lang="zh-CN" altLang="en-US" sz="1200" b="1">
            <a:latin typeface="微软雅黑" panose="020B0503020204020204" charset="-122"/>
            <a:ea typeface="微软雅黑" panose="020B0503020204020204" charset="-122"/>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2</xdr:col>
      <xdr:colOff>1076325</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1270</xdr:rowOff>
    </xdr:from>
    <xdr:to>
      <xdr:col>3</xdr:col>
      <xdr:colOff>1201420</xdr:colOff>
      <xdr:row>0</xdr:row>
      <xdr:rowOff>429260</xdr:rowOff>
    </xdr:to>
    <xdr:sp macro="[0]!select04">
      <xdr:nvSpPr>
        <xdr:cNvPr id="3" name="圆角矩形 2"/>
        <xdr:cNvSpPr/>
      </xdr:nvSpPr>
      <xdr:spPr>
        <a:xfrm>
          <a:off x="1806575" y="127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1270</xdr:rowOff>
    </xdr:from>
    <xdr:to>
      <xdr:col>4</xdr:col>
      <xdr:colOff>1330325</xdr:colOff>
      <xdr:row>0</xdr:row>
      <xdr:rowOff>429260</xdr:rowOff>
    </xdr:to>
    <xdr:sp macro="[0]!save04">
      <xdr:nvSpPr>
        <xdr:cNvPr id="4" name="圆角矩形 3"/>
        <xdr:cNvSpPr/>
      </xdr:nvSpPr>
      <xdr:spPr>
        <a:xfrm>
          <a:off x="3322320" y="127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1270</xdr:rowOff>
    </xdr:from>
    <xdr:to>
      <xdr:col>6</xdr:col>
      <xdr:colOff>74930</xdr:colOff>
      <xdr:row>0</xdr:row>
      <xdr:rowOff>429260</xdr:rowOff>
    </xdr:to>
    <xdr:sp macro="[0]!PLSC">
      <xdr:nvSpPr>
        <xdr:cNvPr id="5" name="圆角矩形 4"/>
        <xdr:cNvSpPr/>
      </xdr:nvSpPr>
      <xdr:spPr>
        <a:xfrm>
          <a:off x="484187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528955</xdr:colOff>
      <xdr:row>0</xdr:row>
      <xdr:rowOff>1270</xdr:rowOff>
    </xdr:from>
    <xdr:to>
      <xdr:col>7</xdr:col>
      <xdr:colOff>210185</xdr:colOff>
      <xdr:row>0</xdr:row>
      <xdr:rowOff>429260</xdr:rowOff>
    </xdr:to>
    <xdr:sp macro="[0]!queryAll">
      <xdr:nvSpPr>
        <xdr:cNvPr id="6" name="圆角矩形 5"/>
        <xdr:cNvSpPr/>
      </xdr:nvSpPr>
      <xdr:spPr>
        <a:xfrm>
          <a:off x="6367780"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664210</xdr:colOff>
      <xdr:row>0</xdr:row>
      <xdr:rowOff>1270</xdr:rowOff>
    </xdr:from>
    <xdr:to>
      <xdr:col>8</xdr:col>
      <xdr:colOff>345440</xdr:colOff>
      <xdr:row>0</xdr:row>
      <xdr:rowOff>429260</xdr:rowOff>
    </xdr:to>
    <xdr:sp macro="[0]!daochu">
      <xdr:nvSpPr>
        <xdr:cNvPr id="7" name="圆角矩形 6"/>
        <xdr:cNvSpPr/>
      </xdr:nvSpPr>
      <xdr:spPr>
        <a:xfrm>
          <a:off x="789368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53975</xdr:colOff>
      <xdr:row>0</xdr:row>
      <xdr:rowOff>0</xdr:rowOff>
    </xdr:from>
    <xdr:to>
      <xdr:col>4</xdr:col>
      <xdr:colOff>1115695</xdr:colOff>
      <xdr:row>0</xdr:row>
      <xdr:rowOff>427990</xdr:rowOff>
    </xdr:to>
    <xdr:sp macro="[0]!select0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93345</xdr:colOff>
      <xdr:row>0</xdr:row>
      <xdr:rowOff>0</xdr:rowOff>
    </xdr:from>
    <xdr:to>
      <xdr:col>5</xdr:col>
      <xdr:colOff>1158875</xdr:colOff>
      <xdr:row>0</xdr:row>
      <xdr:rowOff>427990</xdr:rowOff>
    </xdr:to>
    <xdr:sp macro="[0]!save0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136525</xdr:colOff>
      <xdr:row>0</xdr:row>
      <xdr:rowOff>0</xdr:rowOff>
    </xdr:from>
    <xdr:to>
      <xdr:col>6</xdr:col>
      <xdr:colOff>1208405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7</xdr:col>
      <xdr:colOff>1257935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0</xdr:rowOff>
    </xdr:from>
    <xdr:to>
      <xdr:col>3</xdr:col>
      <xdr:colOff>1201420</xdr:colOff>
      <xdr:row>0</xdr:row>
      <xdr:rowOff>427990</xdr:rowOff>
    </xdr:to>
    <xdr:sp macro="[0]!select0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0</xdr:rowOff>
    </xdr:from>
    <xdr:to>
      <xdr:col>4</xdr:col>
      <xdr:colOff>1330325</xdr:colOff>
      <xdr:row>0</xdr:row>
      <xdr:rowOff>427990</xdr:rowOff>
    </xdr:to>
    <xdr:sp macro="[0]!save0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0</xdr:rowOff>
    </xdr:from>
    <xdr:to>
      <xdr:col>6</xdr:col>
      <xdr:colOff>74930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425450</xdr:colOff>
      <xdr:row>0</xdr:row>
      <xdr:rowOff>0</xdr:rowOff>
    </xdr:from>
    <xdr:to>
      <xdr:col>4</xdr:col>
      <xdr:colOff>382270</xdr:colOff>
      <xdr:row>0</xdr:row>
      <xdr:rowOff>427990</xdr:rowOff>
    </xdr:to>
    <xdr:sp macro="[0]!select07">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836295</xdr:colOff>
      <xdr:row>0</xdr:row>
      <xdr:rowOff>0</xdr:rowOff>
    </xdr:from>
    <xdr:to>
      <xdr:col>5</xdr:col>
      <xdr:colOff>796925</xdr:colOff>
      <xdr:row>0</xdr:row>
      <xdr:rowOff>427990</xdr:rowOff>
    </xdr:to>
    <xdr:sp macro="[0]!save07">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146050</xdr:colOff>
      <xdr:row>0</xdr:row>
      <xdr:rowOff>0</xdr:rowOff>
    </xdr:from>
    <xdr:to>
      <xdr:col>7</xdr:col>
      <xdr:colOff>113030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567055</xdr:colOff>
      <xdr:row>0</xdr:row>
      <xdr:rowOff>0</xdr:rowOff>
    </xdr:from>
    <xdr:to>
      <xdr:col>8</xdr:col>
      <xdr:colOff>534035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988060</xdr:colOff>
      <xdr:row>0</xdr:row>
      <xdr:rowOff>0</xdr:rowOff>
    </xdr:from>
    <xdr:to>
      <xdr:col>9</xdr:col>
      <xdr:colOff>955040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10</xdr:col>
      <xdr:colOff>200660</xdr:colOff>
      <xdr:row>0</xdr:row>
      <xdr:rowOff>29845</xdr:rowOff>
    </xdr:from>
    <xdr:to>
      <xdr:col>11</xdr:col>
      <xdr:colOff>167640</xdr:colOff>
      <xdr:row>0</xdr:row>
      <xdr:rowOff>457835</xdr:rowOff>
    </xdr:to>
    <xdr:sp macro="[0]!shangchuan_07">
      <xdr:nvSpPr>
        <xdr:cNvPr id="8" name="圆角矩形 7"/>
        <xdr:cNvSpPr/>
      </xdr:nvSpPr>
      <xdr:spPr>
        <a:xfrm>
          <a:off x="9316085" y="2984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文件上传</a:t>
          </a:r>
          <a:endParaRPr lang="zh-CN" altLang="en-US" sz="1400" b="1">
            <a:latin typeface="幼圆" panose="02010509060101010101" charset="-122"/>
            <a:ea typeface="幼圆" panose="02010509060101010101" charset="-122"/>
          </a:endParaRPr>
        </a:p>
      </xdr:txBody>
    </xdr:sp>
    <xdr:clientData/>
  </xdr:twoCellAnchor>
  <xdr:twoCellAnchor editAs="absolute">
    <xdr:from>
      <xdr:col>11</xdr:col>
      <xdr:colOff>394335</xdr:colOff>
      <xdr:row>0</xdr:row>
      <xdr:rowOff>15875</xdr:rowOff>
    </xdr:from>
    <xdr:to>
      <xdr:col>12</xdr:col>
      <xdr:colOff>361315</xdr:colOff>
      <xdr:row>0</xdr:row>
      <xdr:rowOff>443865</xdr:rowOff>
    </xdr:to>
    <xdr:sp macro="[0]!shanchu_07">
      <xdr:nvSpPr>
        <xdr:cNvPr id="9" name="圆角矩形 8"/>
        <xdr:cNvSpPr/>
      </xdr:nvSpPr>
      <xdr:spPr>
        <a:xfrm>
          <a:off x="10614660" y="1587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文件删除</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8">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158750</xdr:colOff>
      <xdr:row>0</xdr:row>
      <xdr:rowOff>427990</xdr:rowOff>
    </xdr:to>
    <xdr:sp macro="[0]!save08">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612775</xdr:colOff>
      <xdr:row>0</xdr:row>
      <xdr:rowOff>0</xdr:rowOff>
    </xdr:from>
    <xdr:to>
      <xdr:col>6</xdr:col>
      <xdr:colOff>503555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957580</xdr:colOff>
      <xdr:row>0</xdr:row>
      <xdr:rowOff>0</xdr:rowOff>
    </xdr:from>
    <xdr:to>
      <xdr:col>7</xdr:col>
      <xdr:colOff>848360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1095375</xdr:colOff>
      <xdr:row>0</xdr:row>
      <xdr:rowOff>6985</xdr:rowOff>
    </xdr:from>
    <xdr:to>
      <xdr:col>8</xdr:col>
      <xdr:colOff>986155</xdr:colOff>
      <xdr:row>0</xdr:row>
      <xdr:rowOff>434975</xdr:rowOff>
    </xdr:to>
    <xdr:sp macro="[0]!shangchuan_08">
      <xdr:nvSpPr>
        <xdr:cNvPr id="9" name="圆角矩形 8"/>
        <xdr:cNvSpPr/>
      </xdr:nvSpPr>
      <xdr:spPr>
        <a:xfrm>
          <a:off x="7686675" y="698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文件上传</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31750</xdr:colOff>
      <xdr:row>0</xdr:row>
      <xdr:rowOff>635</xdr:rowOff>
    </xdr:from>
    <xdr:to>
      <xdr:col>9</xdr:col>
      <xdr:colOff>1103630</xdr:colOff>
      <xdr:row>0</xdr:row>
      <xdr:rowOff>428625</xdr:rowOff>
    </xdr:to>
    <xdr:sp macro="[0]!shanchu_08">
      <xdr:nvSpPr>
        <xdr:cNvPr id="10" name="圆角矩形 9"/>
        <xdr:cNvSpPr/>
      </xdr:nvSpPr>
      <xdr:spPr>
        <a:xfrm>
          <a:off x="8985250" y="63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文件删除</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9">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568325</xdr:colOff>
      <xdr:row>0</xdr:row>
      <xdr:rowOff>427990</xdr:rowOff>
    </xdr:to>
    <xdr:sp macro="[0]!save09">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1022350</xdr:colOff>
      <xdr:row>0</xdr:row>
      <xdr:rowOff>0</xdr:rowOff>
    </xdr:from>
    <xdr:to>
      <xdr:col>6</xdr:col>
      <xdr:colOff>913130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8</xdr:col>
      <xdr:colOff>76835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530860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10</xdr:col>
      <xdr:colOff>189865</xdr:colOff>
      <xdr:row>0</xdr:row>
      <xdr:rowOff>0</xdr:rowOff>
    </xdr:from>
    <xdr:to>
      <xdr:col>11</xdr:col>
      <xdr:colOff>575945</xdr:colOff>
      <xdr:row>0</xdr:row>
      <xdr:rowOff>427990</xdr:rowOff>
    </xdr:to>
    <xdr:sp macro="[0]!print_sheet9">
      <xdr:nvSpPr>
        <xdr:cNvPr id="8" name="圆角矩形 7"/>
        <xdr:cNvSpPr/>
      </xdr:nvSpPr>
      <xdr:spPr>
        <a:xfrm>
          <a:off x="941959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276225</xdr:colOff>
      <xdr:row>0</xdr:row>
      <xdr:rowOff>0</xdr:rowOff>
    </xdr:from>
    <xdr:to>
      <xdr:col>2</xdr:col>
      <xdr:colOff>1352550</xdr:colOff>
      <xdr:row>0</xdr:row>
      <xdr:rowOff>431800</xdr:rowOff>
    </xdr:to>
    <xdr:sp>
      <xdr:nvSpPr>
        <xdr:cNvPr id="2" name="圆角矩形 1">
          <a:hlinkClick xmlns:r="http://schemas.openxmlformats.org/officeDocument/2006/relationships" r:id="rId1"/>
        </xdr:cNvPr>
        <xdr:cNvSpPr/>
      </xdr:nvSpPr>
      <xdr:spPr>
        <a:xfrm>
          <a:off x="552450"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1806575</xdr:colOff>
      <xdr:row>0</xdr:row>
      <xdr:rowOff>0</xdr:rowOff>
    </xdr:from>
    <xdr:to>
      <xdr:col>3</xdr:col>
      <xdr:colOff>629920</xdr:colOff>
      <xdr:row>0</xdr:row>
      <xdr:rowOff>427990</xdr:rowOff>
    </xdr:to>
    <xdr:sp macro="[0]!print_sheet17">
      <xdr:nvSpPr>
        <xdr:cNvPr id="3" name="圆角矩形 2"/>
        <xdr:cNvSpPr/>
      </xdr:nvSpPr>
      <xdr:spPr>
        <a:xfrm>
          <a:off x="2082800"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select10">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save10">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450850</xdr:colOff>
      <xdr:row>0</xdr:row>
      <xdr:rowOff>0</xdr:rowOff>
    </xdr:from>
    <xdr:to>
      <xdr:col>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605155</xdr:colOff>
      <xdr:row>0</xdr:row>
      <xdr:rowOff>0</xdr:rowOff>
    </xdr:from>
    <xdr:to>
      <xdr:col>7</xdr:col>
      <xdr:colOff>305435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759460</xdr:colOff>
      <xdr:row>0</xdr:row>
      <xdr:rowOff>0</xdr:rowOff>
    </xdr:from>
    <xdr:to>
      <xdr:col>8</xdr:col>
      <xdr:colOff>459740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2"/>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225425</xdr:colOff>
      <xdr:row>0</xdr:row>
      <xdr:rowOff>0</xdr:rowOff>
    </xdr:from>
    <xdr:to>
      <xdr:col>3</xdr:col>
      <xdr:colOff>1287145</xdr:colOff>
      <xdr:row>0</xdr:row>
      <xdr:rowOff>427990</xdr:rowOff>
    </xdr:to>
    <xdr:sp macro="[0]!select11">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436245</xdr:colOff>
      <xdr:row>0</xdr:row>
      <xdr:rowOff>0</xdr:rowOff>
    </xdr:from>
    <xdr:to>
      <xdr:col>5</xdr:col>
      <xdr:colOff>196850</xdr:colOff>
      <xdr:row>0</xdr:row>
      <xdr:rowOff>427990</xdr:rowOff>
    </xdr:to>
    <xdr:sp macro="[0]!save11">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650875</xdr:colOff>
      <xdr:row>0</xdr:row>
      <xdr:rowOff>0</xdr:rowOff>
    </xdr:from>
    <xdr:to>
      <xdr:col>6</xdr:col>
      <xdr:colOff>417830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871855</xdr:colOff>
      <xdr:row>0</xdr:row>
      <xdr:rowOff>0</xdr:rowOff>
    </xdr:from>
    <xdr:to>
      <xdr:col>7</xdr:col>
      <xdr:colOff>638810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1092835</xdr:colOff>
      <xdr:row>0</xdr:row>
      <xdr:rowOff>0</xdr:rowOff>
    </xdr:from>
    <xdr:to>
      <xdr:col>8</xdr:col>
      <xdr:colOff>859790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11</xdr:col>
      <xdr:colOff>0</xdr:colOff>
      <xdr:row>11</xdr:row>
      <xdr:rowOff>0</xdr:rowOff>
    </xdr:from>
    <xdr:to>
      <xdr:col>19</xdr:col>
      <xdr:colOff>314325</xdr:colOff>
      <xdr:row>24</xdr:row>
      <xdr:rowOff>27940</xdr:rowOff>
    </xdr:to>
    <xdr:graphicFrame>
      <xdr:nvGraphicFramePr>
        <xdr:cNvPr id="9" name="图表 8"/>
        <xdr:cNvGraphicFramePr/>
      </xdr:nvGraphicFramePr>
      <xdr:xfrm>
        <a:off x="10991850" y="3564255"/>
        <a:ext cx="6829425" cy="33464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1149350</xdr:colOff>
      <xdr:row>0</xdr:row>
      <xdr:rowOff>635</xdr:rowOff>
    </xdr:from>
    <xdr:to>
      <xdr:col>4</xdr:col>
      <xdr:colOff>281305</xdr:colOff>
      <xdr:row>0</xdr:row>
      <xdr:rowOff>427990</xdr:rowOff>
    </xdr:to>
    <xdr:sp macro="[0]!daochu">
      <xdr:nvSpPr>
        <xdr:cNvPr id="4" name="圆角矩形 3"/>
        <xdr:cNvSpPr/>
      </xdr:nvSpPr>
      <xdr:spPr>
        <a:xfrm>
          <a:off x="3359150" y="635"/>
          <a:ext cx="106553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772160</xdr:colOff>
      <xdr:row>0</xdr:row>
      <xdr:rowOff>1905</xdr:rowOff>
    </xdr:from>
    <xdr:to>
      <xdr:col>4</xdr:col>
      <xdr:colOff>1833880</xdr:colOff>
      <xdr:row>0</xdr:row>
      <xdr:rowOff>429260</xdr:rowOff>
    </xdr:to>
    <xdr:sp macro="[0]!refresh_13">
      <xdr:nvSpPr>
        <xdr:cNvPr id="5" name="圆角矩形 4"/>
        <xdr:cNvSpPr/>
      </xdr:nvSpPr>
      <xdr:spPr>
        <a:xfrm>
          <a:off x="4915535" y="1905"/>
          <a:ext cx="106172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1163320</xdr:colOff>
      <xdr:row>0</xdr:row>
      <xdr:rowOff>635</xdr:rowOff>
    </xdr:from>
    <xdr:to>
      <xdr:col>4</xdr:col>
      <xdr:colOff>295275</xdr:colOff>
      <xdr:row>0</xdr:row>
      <xdr:rowOff>427990</xdr:rowOff>
    </xdr:to>
    <xdr:sp macro="[0]!daochu">
      <xdr:nvSpPr>
        <xdr:cNvPr id="4" name="圆角矩形 3"/>
        <xdr:cNvSpPr/>
      </xdr:nvSpPr>
      <xdr:spPr>
        <a:xfrm>
          <a:off x="3373120" y="635"/>
          <a:ext cx="106553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800100</xdr:colOff>
      <xdr:row>0</xdr:row>
      <xdr:rowOff>1270</xdr:rowOff>
    </xdr:from>
    <xdr:to>
      <xdr:col>4</xdr:col>
      <xdr:colOff>1861820</xdr:colOff>
      <xdr:row>0</xdr:row>
      <xdr:rowOff>428625</xdr:rowOff>
    </xdr:to>
    <xdr:sp macro="[0]!refresh_14">
      <xdr:nvSpPr>
        <xdr:cNvPr id="5" name="圆角矩形 4"/>
        <xdr:cNvSpPr/>
      </xdr:nvSpPr>
      <xdr:spPr>
        <a:xfrm>
          <a:off x="4943475" y="1270"/>
          <a:ext cx="106172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180975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120650</xdr:colOff>
      <xdr:row>0</xdr:row>
      <xdr:rowOff>0</xdr:rowOff>
    </xdr:from>
    <xdr:to>
      <xdr:col>7</xdr:col>
      <xdr:colOff>20320</xdr:colOff>
      <xdr:row>0</xdr:row>
      <xdr:rowOff>427990</xdr:rowOff>
    </xdr:to>
    <xdr:sp macro="[0]!select1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150495</xdr:colOff>
      <xdr:row>0</xdr:row>
      <xdr:rowOff>0</xdr:rowOff>
    </xdr:from>
    <xdr:to>
      <xdr:col>11</xdr:col>
      <xdr:colOff>244475</xdr:colOff>
      <xdr:row>0</xdr:row>
      <xdr:rowOff>427990</xdr:rowOff>
    </xdr:to>
    <xdr:sp macro="[0]!save1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50800</xdr:colOff>
      <xdr:row>0</xdr:row>
      <xdr:rowOff>0</xdr:rowOff>
    </xdr:from>
    <xdr:to>
      <xdr:col>16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17</xdr:col>
      <xdr:colOff>281305</xdr:colOff>
      <xdr:row>0</xdr:row>
      <xdr:rowOff>0</xdr:rowOff>
    </xdr:from>
    <xdr:to>
      <xdr:col>21</xdr:col>
      <xdr:colOff>57785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22</xdr:col>
      <xdr:colOff>173355</xdr:colOff>
      <xdr:row>0</xdr:row>
      <xdr:rowOff>9525</xdr:rowOff>
    </xdr:from>
    <xdr:to>
      <xdr:col>25</xdr:col>
      <xdr:colOff>273685</xdr:colOff>
      <xdr:row>0</xdr:row>
      <xdr:rowOff>437515</xdr:rowOff>
    </xdr:to>
    <xdr:sp macro="[0]!pl_chuqin">
      <xdr:nvSpPr>
        <xdr:cNvPr id="7" name="圆角矩形 6"/>
        <xdr:cNvSpPr/>
      </xdr:nvSpPr>
      <xdr:spPr>
        <a:xfrm>
          <a:off x="7879080" y="952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批量出勤</a:t>
          </a:r>
          <a:endParaRPr lang="zh-CN" altLang="en-US" sz="1400" b="1">
            <a:latin typeface="幼圆" panose="02010509060101010101" charset="-122"/>
            <a:ea typeface="幼圆" panose="02010509060101010101"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1039495</xdr:colOff>
      <xdr:row>0</xdr:row>
      <xdr:rowOff>427990</xdr:rowOff>
    </xdr:to>
    <xdr:sp macro="[0]!select1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1493520</xdr:colOff>
      <xdr:row>0</xdr:row>
      <xdr:rowOff>0</xdr:rowOff>
    </xdr:from>
    <xdr:to>
      <xdr:col>4</xdr:col>
      <xdr:colOff>1006475</xdr:colOff>
      <xdr:row>0</xdr:row>
      <xdr:rowOff>427990</xdr:rowOff>
    </xdr:to>
    <xdr:sp macro="[0]!save1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1460500</xdr:colOff>
      <xdr:row>0</xdr:row>
      <xdr:rowOff>0</xdr:rowOff>
    </xdr:from>
    <xdr:to>
      <xdr:col>5</xdr:col>
      <xdr:colOff>979805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1433830</xdr:colOff>
      <xdr:row>0</xdr:row>
      <xdr:rowOff>0</xdr:rowOff>
    </xdr:from>
    <xdr:to>
      <xdr:col>7</xdr:col>
      <xdr:colOff>267335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35560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5.xml"/><Relationship Id="rId1" Type="http://schemas.openxmlformats.org/officeDocument/2006/relationships/comments" Target="../comments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AR13"/>
  <sheetViews>
    <sheetView showGridLines="0" showRowColHeaders="0" tabSelected="1" workbookViewId="0">
      <selection activeCell="A1" sqref="A1"/>
    </sheetView>
  </sheetViews>
  <sheetFormatPr defaultColWidth="3.625" defaultRowHeight="17.1" customHeight="1"/>
  <cols>
    <col min="1" max="1" width="3.625" style="40" customWidth="1"/>
    <col min="2" max="16384" width="3.625" style="40"/>
  </cols>
  <sheetData>
    <row r="1" customHeight="1" spans="1:44">
      <c r="A1" s="41"/>
    </row>
    <row r="4" customHeight="1" spans="1:44">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row>
    <row r="5" customHeight="1" spans="1:44">
      <c r="A5" s="42"/>
      <c r="B5" s="42"/>
      <c r="C5" s="42"/>
      <c r="D5" s="42"/>
      <c r="E5" s="42"/>
      <c r="F5" s="42"/>
      <c r="G5" s="42"/>
      <c r="H5" s="42"/>
      <c r="I5" s="42"/>
      <c r="J5" s="42"/>
      <c r="K5" s="42"/>
      <c r="L5" s="42"/>
      <c r="M5" s="42"/>
      <c r="N5" s="42"/>
      <c r="O5" s="42"/>
      <c r="P5" s="42"/>
      <c r="Q5" s="42"/>
      <c r="R5" s="42"/>
      <c r="S5" s="42"/>
      <c r="T5" s="42"/>
      <c r="U5" s="42"/>
      <c r="V5" s="42"/>
      <c r="W5" s="42"/>
      <c r="X5" s="42"/>
      <c r="Y5" s="42"/>
      <c r="Z5" s="42"/>
      <c r="AA5" s="42"/>
      <c r="AB5" s="42"/>
      <c r="AC5" s="42"/>
      <c r="AD5" s="42"/>
      <c r="AE5" s="42"/>
      <c r="AF5" s="42"/>
      <c r="AG5" s="42"/>
      <c r="AH5" s="42"/>
      <c r="AI5" s="42"/>
      <c r="AJ5" s="42"/>
      <c r="AK5" s="42"/>
      <c r="AL5" s="42"/>
      <c r="AM5" s="42"/>
      <c r="AN5" s="42"/>
      <c r="AO5" s="42"/>
      <c r="AP5" s="42"/>
    </row>
    <row r="6" customHeight="1" spans="1:44">
      <c r="A6" s="43"/>
      <c r="B6" s="43"/>
      <c r="C6" s="43"/>
      <c r="D6" s="43"/>
      <c r="E6" s="43"/>
      <c r="F6" s="43"/>
      <c r="G6" s="43"/>
      <c r="H6" s="44"/>
      <c r="I6" s="44"/>
      <c r="J6" s="44"/>
      <c r="K6" s="44"/>
      <c r="L6" s="44"/>
      <c r="M6" s="44"/>
      <c r="N6" s="44"/>
      <c r="O6" s="44"/>
      <c r="P6" s="44"/>
      <c r="Q6" s="44"/>
      <c r="R6" s="43"/>
      <c r="S6" s="43"/>
      <c r="T6" s="43"/>
      <c r="U6" s="43"/>
      <c r="V6" s="43"/>
      <c r="W6" s="43"/>
      <c r="X6" s="43"/>
      <c r="Y6" s="43"/>
      <c r="Z6" s="43"/>
      <c r="AA6" s="43"/>
      <c r="AB6" s="43"/>
      <c r="AC6" s="43"/>
      <c r="AD6" s="43"/>
      <c r="AE6" s="43"/>
      <c r="AF6" s="43"/>
      <c r="AG6" s="43"/>
      <c r="AH6" s="43"/>
      <c r="AI6" s="43"/>
      <c r="AJ6" s="43"/>
      <c r="AK6" s="43"/>
      <c r="AL6" s="43"/>
      <c r="AM6" s="43"/>
      <c r="AN6" s="43"/>
      <c r="AO6" s="43"/>
      <c r="AP6" s="43"/>
    </row>
    <row r="7" customHeight="1" spans="1:44">
      <c r="E7" s="45"/>
      <c r="F7" s="45"/>
      <c r="G7" s="45"/>
      <c r="H7" s="46"/>
      <c r="I7" s="46"/>
      <c r="J7" s="46"/>
      <c r="K7" s="46"/>
      <c r="L7" s="46"/>
      <c r="M7" s="46"/>
      <c r="N7" s="47"/>
      <c r="O7" s="47"/>
      <c r="P7" s="47"/>
      <c r="Q7" s="47"/>
      <c r="T7" s="47"/>
      <c r="U7" s="47"/>
      <c r="V7" s="47"/>
      <c r="W7" s="47"/>
    </row>
    <row r="8" customHeight="1" spans="1:44">
      <c r="H8" s="47"/>
      <c r="I8" s="47"/>
      <c r="J8" s="47"/>
      <c r="K8" s="47"/>
      <c r="L8" s="47"/>
      <c r="M8" s="47"/>
      <c r="N8" s="47"/>
      <c r="O8" s="47"/>
      <c r="P8" s="47"/>
      <c r="Q8" s="47"/>
      <c r="T8" s="47"/>
      <c r="U8" s="47"/>
      <c r="V8" s="47"/>
      <c r="W8" s="47"/>
    </row>
    <row r="9" customHeight="1" spans="1:44">
      <c r="H9" s="47"/>
      <c r="I9" s="47"/>
      <c r="J9" s="47"/>
      <c r="K9" s="47"/>
      <c r="L9" s="47"/>
      <c r="M9" s="47"/>
      <c r="N9" s="47"/>
      <c r="O9" s="47"/>
      <c r="P9" s="47"/>
      <c r="Q9" s="47"/>
      <c r="R9" s="47"/>
      <c r="S9" s="47"/>
      <c r="T9" s="47"/>
      <c r="U9" s="47"/>
      <c r="V9" s="47"/>
      <c r="W9" s="47"/>
    </row>
    <row r="10" customHeight="1" spans="1:44">
      <c r="Q10" s="47"/>
      <c r="R10" s="47"/>
      <c r="S10" s="47"/>
      <c r="T10" s="47"/>
      <c r="U10" s="47"/>
      <c r="V10" s="47"/>
      <c r="W10" s="47"/>
    </row>
    <row r="11" customHeight="1" spans="1:44">
      <c r="Q11" s="47"/>
      <c r="R11" s="47"/>
      <c r="S11" s="47"/>
      <c r="T11" s="47"/>
      <c r="U11" s="47"/>
      <c r="V11" s="47"/>
      <c r="W11" s="47"/>
    </row>
    <row r="12" customHeight="1" spans="1:44">
      <c r="Q12" s="47"/>
      <c r="R12" s="47"/>
      <c r="S12" s="47"/>
      <c r="T12" s="47"/>
      <c r="U12" s="47"/>
      <c r="V12" s="47"/>
      <c r="W12" s="47"/>
      <c r="AR12" s="41"/>
    </row>
    <row r="13" customHeight="1" spans="1:44">
      <c r="Q13" s="47"/>
      <c r="R13" s="47"/>
      <c r="S13" s="47"/>
      <c r="T13" s="47"/>
      <c r="U13" s="47"/>
      <c r="V13" s="47"/>
      <c r="W13" s="47"/>
    </row>
  </sheetData>
  <sheetProtection select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workbookViewId="0">
      <pane ySplit="2" topLeftCell="A3" activePane="bottomLeft" state="frozen"/>
      <selection/>
      <selection pane="bottomLeft" activeCell="F63" sqref="F63"/>
    </sheetView>
  </sheetViews>
  <sheetFormatPr defaultColWidth="9" defaultRowHeight="21.95" customHeight="1"/>
  <cols>
    <col min="1" max="1" width="1.625" style="22" customWidth="1"/>
    <col min="2" max="2" width="2.625" style="23" customWidth="1"/>
    <col min="3" max="3" width="15.25" style="24" customWidth="1"/>
    <col min="4" max="4" width="19.125" style="25" customWidth="1"/>
    <col min="5" max="5" width="10.5" style="25" customWidth="1"/>
    <col min="6" max="8" width="24.625" style="25" customWidth="1"/>
    <col min="9" max="9" width="2.625" style="23" customWidth="1"/>
    <col min="10" max="10" width="4.25" style="22" customWidth="1"/>
    <col min="11" max="16384" width="9" style="22"/>
  </cols>
  <sheetData>
    <row r="1" s="20" customFormat="1" ht="54.95" customHeight="1" spans="1:10">
      <c r="A1" s="26"/>
      <c r="C1" s="27"/>
      <c r="J1" s="28"/>
    </row>
    <row r="2" ht="15.95" customHeight="1" spans="1:10">
      <c r="B2" s="22"/>
      <c r="C2" s="29"/>
      <c r="D2" s="22"/>
      <c r="E2" s="22"/>
      <c r="F2" s="22"/>
      <c r="G2" s="22"/>
      <c r="H2" s="22"/>
      <c r="I2" s="22"/>
    </row>
    <row r="3" ht="15.95" customHeight="1" spans="1:10">
      <c r="C3" s="30"/>
      <c r="D3" s="23"/>
      <c r="E3" s="23"/>
      <c r="F3" s="23"/>
      <c r="G3" s="23"/>
      <c r="H3" s="23"/>
    </row>
    <row r="4" ht="75.95" customHeight="1" spans="1:10">
      <c r="C4" s="31" t="s">
        <v>0</v>
      </c>
      <c r="D4" s="32"/>
      <c r="E4" s="32"/>
      <c r="F4" s="33">
        <f>D7</f>
        <v>6</v>
      </c>
      <c r="G4" s="34" t="s">
        <v>1</v>
      </c>
      <c r="H4" s="34"/>
    </row>
    <row r="5" ht="6" customHeight="1" spans="1:10">
      <c r="C5" s="35"/>
      <c r="D5" s="32"/>
      <c r="E5" s="32"/>
      <c r="F5" s="36"/>
      <c r="G5" s="36"/>
      <c r="H5" s="36"/>
    </row>
    <row r="6" s="21" customFormat="1" ht="9" customHeight="1" spans="1:10">
      <c r="B6" s="23"/>
      <c r="C6" s="37"/>
      <c r="D6" s="38"/>
      <c r="E6" s="38"/>
      <c r="F6" s="39"/>
      <c r="G6" s="39"/>
      <c r="H6" s="39"/>
      <c r="I6" s="23"/>
    </row>
    <row r="7" hidden="1" customHeight="1" spans="1:10">
      <c r="B7" s="23" t="s">
        <v>2</v>
      </c>
      <c r="D7" s="25">
        <v>6</v>
      </c>
    </row>
    <row r="8" hidden="1" customHeight="1" spans="1:10">
      <c r="C8" s="24" t="s">
        <v>3</v>
      </c>
      <c r="D8" s="25" t="s">
        <v>4</v>
      </c>
    </row>
    <row r="9" hidden="1" customHeight="1" spans="1:10">
      <c r="D9" s="25" t="s">
        <v>5</v>
      </c>
    </row>
    <row r="10" hidden="1" customHeight="1" spans="1:10">
      <c r="C10" s="24" t="s">
        <v>6</v>
      </c>
      <c r="D10" s="25" t="s">
        <v>7</v>
      </c>
    </row>
    <row r="11" hidden="1" customHeight="1" spans="1:10">
      <c r="C11" s="24" t="s">
        <v>8</v>
      </c>
      <c r="D11" s="25" t="s">
        <v>9</v>
      </c>
    </row>
    <row r="12" hidden="1" customHeight="1" spans="1:10">
      <c r="C12" s="24" t="s">
        <v>10</v>
      </c>
      <c r="D12" s="25" t="s">
        <v>11</v>
      </c>
    </row>
    <row r="13" hidden="1" customHeight="1" spans="1:10">
      <c r="D13" s="25" t="s">
        <v>12</v>
      </c>
    </row>
    <row r="14" hidden="1" customHeight="1" spans="1:10">
      <c r="C14" s="24" t="s">
        <v>13</v>
      </c>
      <c r="D14" s="25" t="s">
        <v>14</v>
      </c>
    </row>
    <row r="15" hidden="1" customHeight="1"/>
    <row r="16" hidden="1" customHeight="1"/>
    <row r="17" hidden="1" customHeight="1"/>
    <row r="18" hidden="1" customHeight="1" spans="3:4">
      <c r="C18" s="24" t="s">
        <v>3</v>
      </c>
      <c r="D18" s="25" t="s">
        <v>15</v>
      </c>
    </row>
    <row r="19" hidden="1" customHeight="1" spans="3:4">
      <c r="D19" s="25" t="s">
        <v>16</v>
      </c>
    </row>
    <row r="20" hidden="1" customHeight="1" spans="3:4">
      <c r="C20" s="24" t="s">
        <v>6</v>
      </c>
      <c r="D20" s="25" t="s">
        <v>7</v>
      </c>
    </row>
    <row r="21" hidden="1" customHeight="1" spans="3:4">
      <c r="C21" s="24" t="s">
        <v>8</v>
      </c>
      <c r="D21" s="25" t="s">
        <v>9</v>
      </c>
    </row>
    <row r="22" hidden="1" customHeight="1" spans="3:4">
      <c r="C22" s="24" t="s">
        <v>10</v>
      </c>
      <c r="D22" s="25" t="s">
        <v>11</v>
      </c>
    </row>
    <row r="23" hidden="1" customHeight="1" spans="3:4">
      <c r="D23" s="25" t="s">
        <v>12</v>
      </c>
    </row>
    <row r="24" hidden="1" customHeight="1"/>
    <row r="25" hidden="1" customHeight="1"/>
    <row r="26" hidden="1" customHeight="1"/>
    <row r="27" hidden="1" customHeight="1"/>
    <row r="28" hidden="1" customHeight="1" spans="3:4">
      <c r="C28" s="24" t="s">
        <v>3</v>
      </c>
      <c r="D28" s="25" t="s">
        <v>17</v>
      </c>
    </row>
    <row r="29" hidden="1" customHeight="1" spans="3:4">
      <c r="D29" s="25" t="s">
        <v>18</v>
      </c>
    </row>
    <row r="30" hidden="1" customHeight="1" spans="3:4">
      <c r="C30" s="24" t="s">
        <v>6</v>
      </c>
      <c r="D30" s="25" t="s">
        <v>7</v>
      </c>
    </row>
    <row r="31" hidden="1" customHeight="1" spans="3:4">
      <c r="C31" s="24" t="s">
        <v>8</v>
      </c>
      <c r="D31" s="25" t="s">
        <v>11</v>
      </c>
    </row>
    <row r="32" hidden="1" customHeight="1" spans="3:4">
      <c r="D32" s="25" t="s">
        <v>12</v>
      </c>
    </row>
    <row r="33" hidden="1" customHeight="1"/>
    <row r="34" hidden="1" customHeight="1"/>
    <row r="35" hidden="1" customHeight="1"/>
    <row r="36" hidden="1" customHeight="1"/>
    <row r="37" hidden="1" customHeight="1"/>
    <row r="38" hidden="1" customHeight="1" spans="3:4">
      <c r="C38" s="24" t="s">
        <v>3</v>
      </c>
      <c r="D38" s="25" t="s">
        <v>19</v>
      </c>
    </row>
    <row r="39" hidden="1" customHeight="1" spans="3:4">
      <c r="D39" s="25" t="s">
        <v>20</v>
      </c>
    </row>
    <row r="40" hidden="1" customHeight="1" spans="3:4">
      <c r="C40" s="24" t="s">
        <v>6</v>
      </c>
      <c r="D40" s="25" t="s">
        <v>7</v>
      </c>
    </row>
    <row r="41" hidden="1" customHeight="1" spans="3:4">
      <c r="C41" s="24" t="s">
        <v>8</v>
      </c>
      <c r="D41" s="25" t="s">
        <v>9</v>
      </c>
    </row>
    <row r="42" hidden="1" customHeight="1" spans="3:4">
      <c r="C42" s="24" t="s">
        <v>10</v>
      </c>
      <c r="D42" s="25" t="s">
        <v>11</v>
      </c>
    </row>
    <row r="43" hidden="1" customHeight="1" spans="3:4">
      <c r="D43" s="25" t="s">
        <v>12</v>
      </c>
    </row>
    <row r="44" hidden="1" customHeight="1" spans="3:4">
      <c r="C44" s="24" t="s">
        <v>13</v>
      </c>
      <c r="D44" s="25" t="s">
        <v>14</v>
      </c>
    </row>
    <row r="45" hidden="1" customHeight="1"/>
    <row r="46" hidden="1" customHeight="1"/>
    <row r="47" hidden="1" customHeight="1"/>
    <row r="48" hidden="1" customHeight="1" spans="3:4">
      <c r="C48" s="24" t="s">
        <v>3</v>
      </c>
      <c r="D48" s="25" t="s">
        <v>21</v>
      </c>
    </row>
    <row r="49" hidden="1" customHeight="1" spans="3:4">
      <c r="D49" s="25" t="s">
        <v>22</v>
      </c>
    </row>
    <row r="50" hidden="1" customHeight="1" spans="3:4">
      <c r="C50" s="24" t="s">
        <v>6</v>
      </c>
      <c r="D50" s="25" t="s">
        <v>7</v>
      </c>
    </row>
    <row r="51" hidden="1" customHeight="1" spans="3:4">
      <c r="C51" s="24" t="s">
        <v>8</v>
      </c>
      <c r="D51" s="25" t="s">
        <v>9</v>
      </c>
    </row>
    <row r="52" hidden="1" customHeight="1" spans="3:4">
      <c r="C52" s="24" t="s">
        <v>10</v>
      </c>
      <c r="D52" s="25" t="s">
        <v>11</v>
      </c>
    </row>
    <row r="53" hidden="1" customHeight="1" spans="3:4">
      <c r="D53" s="25" t="s">
        <v>12</v>
      </c>
    </row>
    <row r="54" hidden="1" customHeight="1" spans="3:4">
      <c r="C54" s="24" t="s">
        <v>13</v>
      </c>
      <c r="D54" s="25" t="s">
        <v>14</v>
      </c>
    </row>
    <row r="55" hidden="1" customHeight="1" spans="3:4">
      <c r="C55" s="24" t="s">
        <v>23</v>
      </c>
      <c r="D55" s="25" t="s">
        <v>24</v>
      </c>
    </row>
    <row r="56" hidden="1" customHeight="1"/>
    <row r="57" hidden="1" customHeight="1"/>
    <row r="58" customHeight="1" spans="3:4">
      <c r="C58" s="24" t="s">
        <v>3</v>
      </c>
      <c r="D58" s="25" t="s">
        <v>25</v>
      </c>
    </row>
    <row r="59" customHeight="1" spans="3:4">
      <c r="D59" s="25" t="s">
        <v>26</v>
      </c>
    </row>
    <row r="60" customHeight="1" spans="3:4">
      <c r="C60" s="24" t="s">
        <v>6</v>
      </c>
      <c r="D60" s="25" t="s">
        <v>7</v>
      </c>
    </row>
    <row r="61" customHeight="1" spans="3:4">
      <c r="C61" s="24" t="s">
        <v>8</v>
      </c>
      <c r="D61" s="25" t="s">
        <v>9</v>
      </c>
    </row>
    <row r="62" customHeight="1" spans="3:4">
      <c r="C62" s="24" t="s">
        <v>10</v>
      </c>
      <c r="D62" s="25" t="s">
        <v>11</v>
      </c>
    </row>
    <row r="63" customHeight="1" spans="3:4">
      <c r="D63" s="25" t="s">
        <v>12</v>
      </c>
    </row>
    <row r="64" customHeight="1" spans="3:4">
      <c r="C64" s="24" t="s">
        <v>13</v>
      </c>
      <c r="D64" s="25" t="s">
        <v>14</v>
      </c>
    </row>
    <row r="68" hidden="1" customHeight="1" spans="3:4">
      <c r="C68" s="24" t="s">
        <v>3</v>
      </c>
      <c r="D68" s="25" t="s">
        <v>27</v>
      </c>
    </row>
    <row r="69" hidden="1" customHeight="1" spans="3:4">
      <c r="D69" s="25" t="s">
        <v>18</v>
      </c>
    </row>
    <row r="70" hidden="1" customHeight="1" spans="3:4">
      <c r="C70" s="24" t="s">
        <v>6</v>
      </c>
      <c r="D70" s="25" t="s">
        <v>7</v>
      </c>
    </row>
    <row r="71" hidden="1" customHeight="1" spans="3:4">
      <c r="C71" s="24" t="s">
        <v>8</v>
      </c>
      <c r="D71" s="25" t="s">
        <v>9</v>
      </c>
    </row>
    <row r="72" hidden="1" customHeight="1" spans="3:4">
      <c r="C72" s="24" t="s">
        <v>10</v>
      </c>
      <c r="D72" s="25" t="s">
        <v>11</v>
      </c>
    </row>
    <row r="73" hidden="1" customHeight="1" spans="3:4">
      <c r="D73" s="25" t="s">
        <v>12</v>
      </c>
    </row>
    <row r="74" hidden="1" customHeight="1" spans="3:4">
      <c r="C74" s="24" t="s">
        <v>13</v>
      </c>
      <c r="D74" s="25" t="s">
        <v>28</v>
      </c>
    </row>
    <row r="75" hidden="1" customHeight="1"/>
    <row r="76" hidden="1" customHeight="1"/>
    <row r="77" hidden="1" customHeight="1"/>
    <row r="78" hidden="1" customHeight="1" spans="3:4">
      <c r="C78" s="24" t="s">
        <v>3</v>
      </c>
      <c r="D78" s="25" t="s">
        <v>29</v>
      </c>
    </row>
    <row r="79" hidden="1" customHeight="1" spans="3:4">
      <c r="D79" s="25" t="s">
        <v>18</v>
      </c>
    </row>
    <row r="80" hidden="1" customHeight="1" spans="3:4">
      <c r="C80" s="24" t="s">
        <v>6</v>
      </c>
      <c r="D80" s="25" t="s">
        <v>7</v>
      </c>
    </row>
    <row r="81" hidden="1" customHeight="1" spans="3:4">
      <c r="C81" s="24" t="s">
        <v>8</v>
      </c>
      <c r="D81" s="25" t="s">
        <v>9</v>
      </c>
    </row>
    <row r="82" hidden="1" customHeight="1" spans="3:4">
      <c r="C82" s="24" t="s">
        <v>10</v>
      </c>
      <c r="D82" s="25" t="s">
        <v>11</v>
      </c>
    </row>
    <row r="83" hidden="1" customHeight="1" spans="3:4">
      <c r="D83" s="25" t="s">
        <v>12</v>
      </c>
    </row>
    <row r="84" hidden="1" customHeight="1" spans="3:4">
      <c r="C84" s="24" t="s">
        <v>13</v>
      </c>
      <c r="D84" s="25" t="s">
        <v>14</v>
      </c>
    </row>
    <row r="85" hidden="1" customHeight="1"/>
    <row r="86" hidden="1" customHeight="1"/>
    <row r="87" hidden="1" customHeight="1"/>
    <row r="88" hidden="1" customHeight="1" spans="3:4">
      <c r="C88" s="24">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24">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algorithmName="SHA-512" hashValue="TFTH1Aohhe9SMbtaexOpupEA31aanU/1vLn7xKasoH1BOa5ZSdA0AP2gsuExr0BcUR7/U88QUQkbfLfSczWmPg==" saltValue="GZZ1ZPyeeM4WnEiFzAv9cg==" spinCount="100000"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8"/>
  <sheetViews>
    <sheetView workbookViewId="0">
      <selection activeCell="G9" sqref="G9"/>
    </sheetView>
  </sheetViews>
  <sheetFormatPr defaultColWidth="9" defaultRowHeight="14.25" outlineLevelCol="4"/>
  <sheetData>
    <row r="1" spans="1:5">
      <c r="A1" s="19">
        <v>58441</v>
      </c>
      <c r="C1" s="19">
        <v>47848</v>
      </c>
      <c r="D1">
        <v>1048576</v>
      </c>
      <c r="E1">
        <v>10</v>
      </c>
    </row>
    <row r="3" spans="1:5">
      <c r="A3" t="s">
        <v>30</v>
      </c>
      <c r="B3">
        <v>1</v>
      </c>
      <c r="C3" t="s">
        <v>31</v>
      </c>
    </row>
    <row r="5" spans="1:5">
      <c r="A5" t="s">
        <v>32</v>
      </c>
      <c r="B5" t="s">
        <v>33</v>
      </c>
      <c r="C5" t="s">
        <v>33</v>
      </c>
      <c r="D5" t="s">
        <v>33</v>
      </c>
      <c r="E5" t="s">
        <v>33</v>
      </c>
    </row>
    <row r="6" spans="1:5">
      <c r="A6" t="s">
        <v>34</v>
      </c>
      <c r="B6" t="s">
        <v>33</v>
      </c>
      <c r="C6" t="s">
        <v>33</v>
      </c>
      <c r="D6" t="s">
        <v>33</v>
      </c>
      <c r="E6" t="s">
        <v>33</v>
      </c>
    </row>
    <row r="7" spans="1:5">
      <c r="A7" t="s">
        <v>35</v>
      </c>
      <c r="B7" t="s">
        <v>33</v>
      </c>
      <c r="C7" t="s">
        <v>33</v>
      </c>
      <c r="D7" t="s">
        <v>33</v>
      </c>
      <c r="E7" t="s">
        <v>33</v>
      </c>
    </row>
    <row r="8" spans="1:5">
      <c r="A8" t="s">
        <v>36</v>
      </c>
      <c r="B8" t="s">
        <v>33</v>
      </c>
      <c r="C8" t="s">
        <v>33</v>
      </c>
      <c r="D8" t="s">
        <v>33</v>
      </c>
      <c r="E8" t="s">
        <v>33</v>
      </c>
    </row>
    <row r="9" spans="1:5">
      <c r="A9" t="s">
        <v>37</v>
      </c>
      <c r="B9" t="s">
        <v>33</v>
      </c>
      <c r="C9" t="s">
        <v>33</v>
      </c>
      <c r="D9" t="s">
        <v>33</v>
      </c>
      <c r="E9" t="s">
        <v>33</v>
      </c>
    </row>
    <row r="10" spans="1:5">
      <c r="A10" t="s">
        <v>1</v>
      </c>
      <c r="B10" t="s">
        <v>33</v>
      </c>
      <c r="C10" t="s">
        <v>33</v>
      </c>
      <c r="D10" t="s">
        <v>33</v>
      </c>
      <c r="E10" t="s">
        <v>33</v>
      </c>
    </row>
    <row r="11" spans="1:5">
      <c r="A11" t="s">
        <v>38</v>
      </c>
      <c r="B11" t="s">
        <v>33</v>
      </c>
      <c r="C11" t="s">
        <v>33</v>
      </c>
      <c r="D11" t="s">
        <v>33</v>
      </c>
      <c r="E11" t="s">
        <v>33</v>
      </c>
    </row>
    <row r="12" spans="1:5">
      <c r="A12" t="s">
        <v>39</v>
      </c>
      <c r="B12" t="s">
        <v>33</v>
      </c>
      <c r="C12" t="s">
        <v>33</v>
      </c>
      <c r="D12" t="s">
        <v>33</v>
      </c>
      <c r="E12" t="s">
        <v>33</v>
      </c>
    </row>
    <row r="13" spans="1:5">
      <c r="A13" t="s">
        <v>40</v>
      </c>
      <c r="B13" t="s">
        <v>33</v>
      </c>
      <c r="C13" t="s">
        <v>33</v>
      </c>
      <c r="D13" t="s">
        <v>33</v>
      </c>
      <c r="E13" t="s">
        <v>33</v>
      </c>
    </row>
    <row r="14" spans="1:5">
      <c r="A14" t="s">
        <v>41</v>
      </c>
      <c r="B14" t="s">
        <v>33</v>
      </c>
      <c r="C14" t="s">
        <v>33</v>
      </c>
      <c r="D14" t="s">
        <v>33</v>
      </c>
      <c r="E14" t="s">
        <v>33</v>
      </c>
    </row>
    <row r="15" spans="1:5">
      <c r="A15" t="s">
        <v>42</v>
      </c>
      <c r="B15" t="s">
        <v>33</v>
      </c>
      <c r="C15" t="s">
        <v>33</v>
      </c>
      <c r="D15" t="s">
        <v>33</v>
      </c>
      <c r="E15" t="s">
        <v>33</v>
      </c>
    </row>
    <row r="16" spans="1:5">
      <c r="A16" t="s">
        <v>43</v>
      </c>
      <c r="B16" t="s">
        <v>33</v>
      </c>
      <c r="C16" t="s">
        <v>33</v>
      </c>
      <c r="D16" t="s">
        <v>33</v>
      </c>
      <c r="E16" t="s">
        <v>33</v>
      </c>
    </row>
    <row r="17" spans="1:5">
      <c r="A17" t="s">
        <v>44</v>
      </c>
      <c r="B17" t="s">
        <v>33</v>
      </c>
      <c r="C17" t="s">
        <v>33</v>
      </c>
      <c r="D17" t="s">
        <v>33</v>
      </c>
      <c r="E17" t="s">
        <v>33</v>
      </c>
    </row>
    <row r="18" spans="1:5">
      <c r="A18" t="s">
        <v>39</v>
      </c>
      <c r="B18" t="s">
        <v>33</v>
      </c>
      <c r="C18" t="s">
        <v>33</v>
      </c>
      <c r="D18" t="s">
        <v>33</v>
      </c>
      <c r="E18" t="s">
        <v>33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autoPageBreaks="0"/>
  </sheetPr>
  <dimension ref="B1:K10"/>
  <sheetViews>
    <sheetView showGridLines="0" workbookViewId="0">
      <selection activeCell="F11" sqref="F11"/>
    </sheetView>
  </sheetViews>
  <sheetFormatPr defaultColWidth="9" defaultRowHeight="20.1" customHeight="1"/>
  <cols>
    <col min="1" max="1" width="3.625" style="3" customWidth="1"/>
    <col min="2" max="2" width="3.625" style="3" hidden="1" customWidth="1"/>
    <col min="3" max="8" width="18.25" style="3" customWidth="1"/>
    <col min="9" max="9" width="27.375" style="16" customWidth="1"/>
    <col min="10" max="11" width="18.25" style="3" customWidth="1"/>
    <col min="12" max="16384" width="9" style="3"/>
  </cols>
  <sheetData>
    <row r="1" s="1" customFormat="1" ht="50.1" customHeight="1" spans="2:11">
      <c r="C1" s="3"/>
      <c r="D1" s="3"/>
      <c r="E1" s="3"/>
      <c r="F1" s="3"/>
      <c r="G1" s="3"/>
      <c r="H1" s="3"/>
      <c r="I1" s="3"/>
      <c r="J1" s="3"/>
      <c r="K1" s="3"/>
    </row>
    <row r="2" s="1" customFormat="1" ht="39.95" customHeight="1" spans="2:11">
      <c r="C2" s="4" t="s">
        <v>45</v>
      </c>
      <c r="D2" s="3"/>
      <c r="E2" s="3"/>
      <c r="F2" s="3"/>
      <c r="G2" s="3"/>
      <c r="H2" s="3"/>
      <c r="I2" s="3"/>
      <c r="J2" s="3"/>
      <c r="K2" s="3"/>
    </row>
    <row r="3" s="2" customFormat="1" ht="30" customHeight="1" spans="2:11">
      <c r="C3" s="5" t="s">
        <v>46</v>
      </c>
      <c r="D3" s="5" t="s">
        <v>47</v>
      </c>
      <c r="E3" s="5" t="s">
        <v>48</v>
      </c>
      <c r="F3" s="5" t="s">
        <v>49</v>
      </c>
      <c r="G3" s="5" t="s">
        <v>50</v>
      </c>
      <c r="H3" s="5" t="s">
        <v>51</v>
      </c>
      <c r="I3" s="5" t="s">
        <v>52</v>
      </c>
      <c r="J3" s="5" t="s">
        <v>53</v>
      </c>
      <c r="K3" s="5" t="s">
        <v>54</v>
      </c>
    </row>
    <row r="4" customHeight="1" spans="2:11">
      <c r="B4" s="3">
        <v>1</v>
      </c>
      <c r="C4" s="3" t="s">
        <v>55</v>
      </c>
      <c r="D4" s="3" t="s">
        <v>56</v>
      </c>
      <c r="E4" s="3" t="s">
        <v>57</v>
      </c>
      <c r="F4" s="3">
        <v>25</v>
      </c>
      <c r="G4" s="3">
        <v>13333333333</v>
      </c>
      <c r="H4" s="3" t="s">
        <v>58</v>
      </c>
      <c r="I4" s="16" t="s">
        <v>59</v>
      </c>
      <c r="J4" s="3" t="s">
        <v>60</v>
      </c>
      <c r="K4" s="3" t="s">
        <v>31</v>
      </c>
    </row>
    <row r="5" customHeight="1" spans="2:11">
      <c r="B5" s="3">
        <v>64</v>
      </c>
      <c r="C5" s="3">
        <v>123</v>
      </c>
      <c r="D5" s="3">
        <v>123</v>
      </c>
      <c r="E5" s="3" t="s">
        <v>61</v>
      </c>
      <c r="F5" s="3">
        <v>30</v>
      </c>
      <c r="G5" s="3">
        <v>13333333333</v>
      </c>
      <c r="H5" s="3" t="s">
        <v>58</v>
      </c>
      <c r="I5" s="16" t="s">
        <v>59</v>
      </c>
      <c r="J5" s="3" t="s">
        <v>60</v>
      </c>
      <c r="K5" s="3" t="s">
        <v>31</v>
      </c>
    </row>
    <row r="6" customHeight="1" spans="2:11">
      <c r="B6" s="3">
        <v>68</v>
      </c>
      <c r="C6" s="3">
        <v>222</v>
      </c>
      <c r="D6" s="3">
        <v>123123</v>
      </c>
      <c r="E6" s="3" t="s">
        <v>62</v>
      </c>
      <c r="F6" s="3">
        <v>30</v>
      </c>
      <c r="G6" s="3">
        <v>12222222333</v>
      </c>
      <c r="H6" s="3" t="s">
        <v>63</v>
      </c>
      <c r="I6" s="16" t="s">
        <v>64</v>
      </c>
      <c r="J6" s="3" t="s">
        <v>65</v>
      </c>
      <c r="K6" s="3" t="s">
        <v>31</v>
      </c>
    </row>
    <row r="7" customHeight="1" spans="2:11">
      <c r="B7" s="3">
        <v>70</v>
      </c>
      <c r="C7" s="3">
        <v>1231233</v>
      </c>
      <c r="D7" s="3">
        <v>123123</v>
      </c>
      <c r="E7" s="3" t="s">
        <v>66</v>
      </c>
      <c r="F7" s="3">
        <v>1324</v>
      </c>
      <c r="G7" s="3">
        <v>21231213</v>
      </c>
      <c r="H7" s="3">
        <v>123213</v>
      </c>
      <c r="I7" s="16" t="s">
        <v>67</v>
      </c>
      <c r="J7" s="3" t="s">
        <v>68</v>
      </c>
      <c r="K7" s="3" t="s">
        <v>31</v>
      </c>
    </row>
    <row r="8" customHeight="1" spans="2:11">
      <c r="B8" s="3">
        <v>73</v>
      </c>
      <c r="C8" s="3">
        <v>121233</v>
      </c>
      <c r="D8" s="3">
        <v>121233</v>
      </c>
      <c r="E8" s="3" t="s">
        <v>69</v>
      </c>
      <c r="F8" s="3">
        <v>30</v>
      </c>
      <c r="G8" s="3">
        <v>1999999999</v>
      </c>
      <c r="H8" s="3">
        <v>33223322</v>
      </c>
      <c r="I8" s="16" t="s">
        <v>70</v>
      </c>
      <c r="J8" s="3">
        <v>4443</v>
      </c>
      <c r="K8" s="3" t="s">
        <v>31</v>
      </c>
    </row>
    <row r="9" customHeight="1" spans="2:11">
      <c r="B9" s="3">
        <v>74</v>
      </c>
      <c r="C9" s="3" t="s">
        <v>71</v>
      </c>
      <c r="D9" s="3">
        <v>123</v>
      </c>
      <c r="E9" s="3" t="s">
        <v>71</v>
      </c>
      <c r="F9" s="3">
        <v>12</v>
      </c>
      <c r="G9" s="3">
        <v>13867826514</v>
      </c>
      <c r="H9" s="3">
        <v>1</v>
      </c>
      <c r="I9" s="16" t="s">
        <v>72</v>
      </c>
      <c r="J9" s="3">
        <v>12222</v>
      </c>
      <c r="K9" s="3" t="s">
        <v>31</v>
      </c>
    </row>
    <row r="10" customHeight="1" spans="2:11">
      <c r="B10" s="3">
        <v>75</v>
      </c>
      <c r="C10" s="3" t="s">
        <v>73</v>
      </c>
      <c r="D10" s="3">
        <v>1</v>
      </c>
      <c r="E10" s="3">
        <v>1</v>
      </c>
      <c r="F10" s="3">
        <v>1</v>
      </c>
      <c r="G10" s="3">
        <v>1</v>
      </c>
      <c r="H10" s="3">
        <v>1</v>
      </c>
      <c r="I10" s="16" t="s">
        <v>72</v>
      </c>
      <c r="J10" s="3">
        <v>1</v>
      </c>
      <c r="K10" s="3" t="s">
        <v>31</v>
      </c>
    </row>
  </sheetData>
  <conditionalFormatting sqref="E5">
    <cfRule type="expression" dxfId="0" priority="7">
      <formula>MOD(ROW(),2)=1</formula>
    </cfRule>
  </conditionalFormatting>
  <conditionalFormatting sqref="F5">
    <cfRule type="expression" dxfId="0" priority="6">
      <formula>MOD(ROW(),2)=1</formula>
    </cfRule>
  </conditionalFormatting>
  <conditionalFormatting sqref="G5">
    <cfRule type="expression" dxfId="0" priority="5">
      <formula>MOD(ROW(),2)=1</formula>
    </cfRule>
  </conditionalFormatting>
  <conditionalFormatting sqref="H5">
    <cfRule type="expression" dxfId="0" priority="4">
      <formula>MOD(ROW(),2)=1</formula>
    </cfRule>
  </conditionalFormatting>
  <conditionalFormatting sqref="I5">
    <cfRule type="expression" dxfId="0" priority="3">
      <formula>MOD(ROW(),2)=1</formula>
    </cfRule>
  </conditionalFormatting>
  <conditionalFormatting sqref="J5">
    <cfRule type="expression" dxfId="0" priority="2">
      <formula>MOD(ROW(),2)=1</formula>
    </cfRule>
  </conditionalFormatting>
  <conditionalFormatting sqref="K5">
    <cfRule type="expression" dxfId="0" priority="1">
      <formula>MOD(ROW(),2)=1</formula>
    </cfRule>
  </conditionalFormatting>
  <conditionalFormatting sqref="C4:E4 C5:D5 C6:E1048576">
    <cfRule type="expression" dxfId="0" priority="25">
      <formula>MOD(ROW(),2)=1</formula>
    </cfRule>
  </conditionalFormatting>
  <conditionalFormatting sqref="F4 F6:F1048576">
    <cfRule type="expression" dxfId="0" priority="24">
      <formula>MOD(ROW(),2)=1</formula>
    </cfRule>
  </conditionalFormatting>
  <conditionalFormatting sqref="G4 G6:G1048576">
    <cfRule type="expression" dxfId="0" priority="23">
      <formula>MOD(ROW(),2)=1</formula>
    </cfRule>
  </conditionalFormatting>
  <conditionalFormatting sqref="H4 H6:H1048576">
    <cfRule type="expression" dxfId="0" priority="22">
      <formula>MOD(ROW(),2)=1</formula>
    </cfRule>
  </conditionalFormatting>
  <conditionalFormatting sqref="I4 I6:I1048576">
    <cfRule type="expression" dxfId="0" priority="21">
      <formula>MOD(ROW(),2)=1</formula>
    </cfRule>
  </conditionalFormatting>
  <conditionalFormatting sqref="J4 J6:J1048576">
    <cfRule type="expression" dxfId="0" priority="20">
      <formula>MOD(ROW(),2)=1</formula>
    </cfRule>
  </conditionalFormatting>
  <conditionalFormatting sqref="K4 K6:K1048576">
    <cfRule type="expression" dxfId="0" priority="19">
      <formula>MOD(ROW(),2)=1</formula>
    </cfRule>
  </conditionalFormatting>
  <dataValidations count="2">
    <dataValidation type="list" allowBlank="1" showInputMessage="1" showErrorMessage="1" sqref="K4:K1048576">
      <formula1>"正常,禁用"</formula1>
    </dataValidation>
    <dataValidation allowBlank="1" showInputMessage="1" showErrorMessage="1" sqref="A4:J1048576 L4:XFD1048576"/>
  </dataValidations>
  <pageMargins left="0.75" right="0.75" top="1" bottom="1" header="0.5" footer="0.5"/>
  <pageSetup paperSize="9" orientation="portrait"/>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I19"/>
  <sheetViews>
    <sheetView showGridLines="0" workbookViewId="0">
      <selection activeCell="G11" sqref="G11"/>
    </sheetView>
  </sheetViews>
  <sheetFormatPr defaultColWidth="9" defaultRowHeight="20.1" customHeight="1"/>
  <cols>
    <col min="1" max="1" width="3.625" style="3" customWidth="1"/>
    <col min="2" max="3" width="3.625" style="3" hidden="1" customWidth="1"/>
    <col min="4" max="9" width="19.375" style="3" customWidth="1"/>
    <col min="10" max="16384" width="9" style="3"/>
  </cols>
  <sheetData>
    <row r="1" s="1" customFormat="1" ht="50.1" customHeight="1" spans="2:9">
      <c r="D1" s="3"/>
      <c r="E1" s="3"/>
      <c r="F1" s="3"/>
      <c r="G1" s="3"/>
      <c r="H1" s="3"/>
      <c r="I1" s="3"/>
    </row>
    <row r="2" s="1" customFormat="1" ht="39.95" customHeight="1" spans="2:9">
      <c r="D2" s="4" t="s">
        <v>74</v>
      </c>
      <c r="E2" s="3"/>
      <c r="F2" s="3"/>
      <c r="G2" s="3"/>
      <c r="H2" s="3"/>
      <c r="I2" s="3"/>
    </row>
    <row r="3" s="2" customFormat="1" ht="30" customHeight="1" spans="2:9">
      <c r="D3" s="5" t="s">
        <v>75</v>
      </c>
      <c r="E3" s="5" t="s">
        <v>76</v>
      </c>
      <c r="F3" s="5" t="s">
        <v>77</v>
      </c>
      <c r="G3" s="5" t="s">
        <v>78</v>
      </c>
      <c r="H3" s="5" t="s">
        <v>79</v>
      </c>
      <c r="I3" s="5" t="s">
        <v>80</v>
      </c>
    </row>
    <row r="4" customHeight="1" spans="2:9">
      <c r="B4" s="3">
        <v>1</v>
      </c>
      <c r="C4" s="3">
        <v>1</v>
      </c>
      <c r="D4" s="3" t="s">
        <v>57</v>
      </c>
      <c r="E4" s="3" t="s">
        <v>32</v>
      </c>
      <c r="F4" s="3" t="s">
        <v>33</v>
      </c>
      <c r="G4" s="3" t="s">
        <v>33</v>
      </c>
      <c r="H4" s="3" t="s">
        <v>33</v>
      </c>
      <c r="I4" s="3" t="s">
        <v>33</v>
      </c>
    </row>
    <row r="5" customHeight="1" spans="2:9">
      <c r="B5" s="3">
        <v>2</v>
      </c>
      <c r="C5" s="3">
        <v>1</v>
      </c>
      <c r="D5" s="3" t="s">
        <v>57</v>
      </c>
      <c r="E5" s="3" t="s">
        <v>34</v>
      </c>
      <c r="F5" s="3" t="s">
        <v>33</v>
      </c>
      <c r="G5" s="3" t="s">
        <v>33</v>
      </c>
      <c r="H5" s="3" t="s">
        <v>33</v>
      </c>
      <c r="I5" s="3" t="s">
        <v>33</v>
      </c>
    </row>
    <row r="6" customHeight="1" spans="2:9">
      <c r="B6" s="3">
        <v>6</v>
      </c>
      <c r="C6" s="3">
        <v>1</v>
      </c>
      <c r="D6" s="3" t="s">
        <v>57</v>
      </c>
      <c r="E6" s="3" t="s">
        <v>35</v>
      </c>
      <c r="F6" s="3" t="s">
        <v>33</v>
      </c>
      <c r="G6" s="3" t="s">
        <v>33</v>
      </c>
      <c r="H6" s="3" t="s">
        <v>33</v>
      </c>
      <c r="I6" s="3" t="s">
        <v>33</v>
      </c>
    </row>
    <row r="7" customHeight="1" spans="2:9">
      <c r="B7" s="3">
        <v>7</v>
      </c>
      <c r="C7" s="3">
        <v>1</v>
      </c>
      <c r="D7" s="3" t="s">
        <v>57</v>
      </c>
      <c r="E7" s="3" t="s">
        <v>36</v>
      </c>
      <c r="F7" s="3" t="s">
        <v>33</v>
      </c>
      <c r="G7" s="3" t="s">
        <v>33</v>
      </c>
      <c r="H7" s="3" t="s">
        <v>33</v>
      </c>
      <c r="I7" s="3" t="s">
        <v>33</v>
      </c>
    </row>
    <row r="8" customHeight="1" spans="2:9">
      <c r="B8" s="3">
        <v>8</v>
      </c>
      <c r="C8" s="3">
        <v>1</v>
      </c>
      <c r="D8" s="3" t="s">
        <v>57</v>
      </c>
      <c r="E8" s="3" t="s">
        <v>37</v>
      </c>
      <c r="F8" s="3" t="s">
        <v>33</v>
      </c>
      <c r="G8" s="3" t="s">
        <v>33</v>
      </c>
      <c r="H8" s="3" t="s">
        <v>33</v>
      </c>
      <c r="I8" s="3" t="s">
        <v>33</v>
      </c>
    </row>
    <row r="9" customHeight="1" spans="2:9">
      <c r="B9" s="3">
        <v>9</v>
      </c>
      <c r="C9" s="3">
        <v>1</v>
      </c>
      <c r="D9" s="3" t="s">
        <v>57</v>
      </c>
      <c r="E9" s="3" t="s">
        <v>1</v>
      </c>
      <c r="F9" s="3" t="s">
        <v>33</v>
      </c>
      <c r="G9" s="3" t="s">
        <v>33</v>
      </c>
      <c r="H9" s="3" t="s">
        <v>33</v>
      </c>
      <c r="I9" s="3" t="s">
        <v>33</v>
      </c>
    </row>
    <row r="10" customHeight="1" spans="2:9">
      <c r="B10" s="3">
        <v>10</v>
      </c>
      <c r="C10" s="3">
        <v>1</v>
      </c>
      <c r="D10" s="3" t="s">
        <v>57</v>
      </c>
      <c r="E10" s="3" t="s">
        <v>38</v>
      </c>
      <c r="F10" s="3" t="s">
        <v>33</v>
      </c>
      <c r="G10" s="3" t="s">
        <v>33</v>
      </c>
      <c r="H10" s="3" t="s">
        <v>33</v>
      </c>
      <c r="I10" s="3" t="s">
        <v>33</v>
      </c>
    </row>
    <row r="11" customHeight="1" spans="2:9">
      <c r="B11" s="3">
        <v>11</v>
      </c>
      <c r="C11" s="3">
        <v>1</v>
      </c>
      <c r="D11" s="3" t="s">
        <v>57</v>
      </c>
      <c r="E11" s="3" t="s">
        <v>39</v>
      </c>
      <c r="F11" s="3" t="s">
        <v>33</v>
      </c>
      <c r="G11" s="3" t="s">
        <v>33</v>
      </c>
      <c r="H11" s="3" t="s">
        <v>33</v>
      </c>
      <c r="I11" s="3" t="s">
        <v>33</v>
      </c>
    </row>
    <row r="12" customHeight="1" spans="2:9">
      <c r="B12" s="3">
        <v>12</v>
      </c>
      <c r="C12" s="3">
        <v>1</v>
      </c>
      <c r="D12" s="3" t="s">
        <v>57</v>
      </c>
      <c r="E12" s="3" t="s">
        <v>40</v>
      </c>
      <c r="F12" s="3" t="s">
        <v>33</v>
      </c>
      <c r="G12" s="3" t="s">
        <v>33</v>
      </c>
      <c r="H12" s="3" t="s">
        <v>33</v>
      </c>
      <c r="I12" s="3" t="s">
        <v>33</v>
      </c>
    </row>
    <row r="13" customHeight="1" spans="2:9">
      <c r="B13" s="3">
        <v>13</v>
      </c>
      <c r="C13" s="3">
        <v>1</v>
      </c>
      <c r="D13" s="3" t="s">
        <v>57</v>
      </c>
      <c r="E13" s="3" t="s">
        <v>41</v>
      </c>
      <c r="F13" s="3" t="s">
        <v>81</v>
      </c>
      <c r="G13" s="3" t="s">
        <v>33</v>
      </c>
      <c r="H13" s="3" t="s">
        <v>33</v>
      </c>
      <c r="I13" s="3" t="s">
        <v>33</v>
      </c>
    </row>
    <row r="14" customHeight="1" spans="2:9">
      <c r="B14" s="3">
        <v>14</v>
      </c>
      <c r="C14" s="3">
        <v>1</v>
      </c>
      <c r="D14" s="3" t="s">
        <v>57</v>
      </c>
      <c r="E14" s="3" t="s">
        <v>42</v>
      </c>
      <c r="F14" s="3" t="s">
        <v>33</v>
      </c>
      <c r="G14" s="3" t="s">
        <v>33</v>
      </c>
      <c r="H14" s="3" t="s">
        <v>33</v>
      </c>
      <c r="I14" s="3" t="s">
        <v>33</v>
      </c>
    </row>
    <row r="15" customHeight="1" spans="2:9">
      <c r="B15" s="3">
        <v>15</v>
      </c>
      <c r="C15" s="3">
        <v>1</v>
      </c>
      <c r="D15" s="3" t="s">
        <v>57</v>
      </c>
      <c r="E15" s="3" t="s">
        <v>43</v>
      </c>
      <c r="F15" s="3" t="s">
        <v>33</v>
      </c>
      <c r="G15" s="3" t="s">
        <v>33</v>
      </c>
      <c r="H15" s="3" t="s">
        <v>33</v>
      </c>
      <c r="I15" s="3" t="s">
        <v>33</v>
      </c>
    </row>
    <row r="16" customHeight="1" spans="2:9">
      <c r="B16" s="3">
        <v>30</v>
      </c>
      <c r="C16" s="3">
        <v>1</v>
      </c>
      <c r="D16" s="3" t="s">
        <v>57</v>
      </c>
      <c r="E16" s="3" t="s">
        <v>44</v>
      </c>
      <c r="F16" s="3" t="s">
        <v>33</v>
      </c>
      <c r="G16" s="3" t="s">
        <v>33</v>
      </c>
      <c r="H16" s="3" t="s">
        <v>33</v>
      </c>
      <c r="I16" s="3" t="s">
        <v>33</v>
      </c>
    </row>
    <row r="17" customHeight="1" spans="2:9">
      <c r="B17" s="3">
        <v>76</v>
      </c>
      <c r="C17" s="3">
        <v>68</v>
      </c>
      <c r="D17" s="3" t="s">
        <v>62</v>
      </c>
      <c r="E17" s="3" t="s">
        <v>34</v>
      </c>
      <c r="F17" s="3" t="s">
        <v>33</v>
      </c>
      <c r="G17" s="3" t="s">
        <v>33</v>
      </c>
      <c r="H17" s="3" t="s">
        <v>33</v>
      </c>
      <c r="I17" s="3" t="s">
        <v>33</v>
      </c>
    </row>
    <row r="18" customHeight="1" spans="2:9">
      <c r="B18" s="3">
        <v>81</v>
      </c>
      <c r="C18" s="3">
        <v>70</v>
      </c>
      <c r="D18" s="3" t="s">
        <v>66</v>
      </c>
      <c r="E18" s="3" t="s">
        <v>32</v>
      </c>
      <c r="F18" s="3" t="s">
        <v>33</v>
      </c>
      <c r="G18" s="3" t="s">
        <v>33</v>
      </c>
      <c r="H18" s="3" t="s">
        <v>33</v>
      </c>
      <c r="I18" s="3" t="s">
        <v>33</v>
      </c>
    </row>
    <row r="19" customHeight="1" spans="2:9">
      <c r="B19" s="3">
        <v>82</v>
      </c>
      <c r="C19" s="3">
        <v>14</v>
      </c>
      <c r="D19" s="3" t="s">
        <v>82</v>
      </c>
      <c r="E19" s="3" t="s">
        <v>34</v>
      </c>
      <c r="F19" s="3" t="s">
        <v>33</v>
      </c>
      <c r="G19" s="3" t="s">
        <v>33</v>
      </c>
      <c r="H19" s="3" t="s">
        <v>33</v>
      </c>
      <c r="I19" s="3" t="s">
        <v>33</v>
      </c>
    </row>
  </sheetData>
  <conditionalFormatting sqref="G4:G1048576">
    <cfRule type="expression" dxfId="0" priority="6">
      <formula>MOD(ROW(),2)=1</formula>
    </cfRule>
  </conditionalFormatting>
  <conditionalFormatting sqref="H4:H1048576">
    <cfRule type="expression" dxfId="0" priority="5">
      <formula>MOD(ROW(),2)=1</formula>
    </cfRule>
  </conditionalFormatting>
  <conditionalFormatting sqref="I4:I1048576">
    <cfRule type="expression" dxfId="0" priority="4">
      <formula>MOD(ROW(),2)=1</formula>
    </cfRule>
  </conditionalFormatting>
  <conditionalFormatting sqref="D4:F1048576">
    <cfRule type="expression" dxfId="0" priority="7">
      <formula>MOD(ROW(),2)=1</formula>
    </cfRule>
  </conditionalFormatting>
  <dataValidations count="4">
    <dataValidation type="list" allowBlank="1" showInputMessage="1" showErrorMessage="1" sqref="D4:D1048576">
      <formula1>用户管理!$E$4:$E$65536</formula1>
    </dataValidation>
    <dataValidation type="list" allowBlank="1" showInputMessage="1" showErrorMessage="1" sqref="E4:E1048576">
      <formula1>"学生信息,教师信息,缴费记录,课时统计,收支明细,欠费学员,教师工资,教师课时统计,考勤表,教师课表,用户管理,权限管理,设置"</formula1>
    </dataValidation>
    <dataValidation allowBlank="1" showInputMessage="1" showErrorMessage="1" sqref="A4:C1048576 J4:XFD1048576"/>
    <dataValidation type="list" allowBlank="1" showInputMessage="1" showErrorMessage="1" sqref="F4:I1048576">
      <formula1>"√"</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H12"/>
  <sheetViews>
    <sheetView showGridLines="0" workbookViewId="0">
      <selection activeCell="F10" sqref="F10"/>
    </sheetView>
  </sheetViews>
  <sheetFormatPr defaultColWidth="9" defaultRowHeight="20.1" customHeight="1" outlineLevelCol="7"/>
  <cols>
    <col min="1" max="1" width="3.625" style="3" customWidth="1"/>
    <col min="2" max="2" width="3.625" style="3" hidden="1" customWidth="1"/>
    <col min="3" max="8" width="18.25" style="3" customWidth="1"/>
    <col min="9" max="16384" width="9" style="3"/>
  </cols>
  <sheetData>
    <row r="1" s="1" customFormat="1" ht="50.1" customHeight="1" spans="2:8">
      <c r="C1" s="3"/>
      <c r="D1" s="3"/>
      <c r="E1" s="3"/>
      <c r="F1" s="3"/>
      <c r="G1" s="3"/>
      <c r="H1" s="3"/>
    </row>
    <row r="2" s="1" customFormat="1" ht="39.95" customHeight="1" spans="2:8">
      <c r="C2" s="4" t="s">
        <v>83</v>
      </c>
      <c r="D2" s="3"/>
      <c r="E2" s="3"/>
      <c r="F2" s="3"/>
      <c r="G2" s="3"/>
      <c r="H2" s="3"/>
    </row>
    <row r="3" s="2" customFormat="1" ht="30" customHeight="1" spans="2:8">
      <c r="C3" s="5" t="s">
        <v>84</v>
      </c>
      <c r="D3" s="5" t="s">
        <v>85</v>
      </c>
      <c r="E3" s="5" t="s">
        <v>86</v>
      </c>
      <c r="F3" s="5" t="s">
        <v>87</v>
      </c>
      <c r="G3" s="5" t="s">
        <v>88</v>
      </c>
      <c r="H3" s="5" t="s">
        <v>89</v>
      </c>
    </row>
    <row r="4" customHeight="1" spans="2:8">
      <c r="B4" s="3">
        <v>1</v>
      </c>
      <c r="C4" s="3" t="s">
        <v>90</v>
      </c>
      <c r="D4" s="3" t="s">
        <v>91</v>
      </c>
      <c r="E4" s="3" t="s">
        <v>92</v>
      </c>
      <c r="F4" s="3" t="s">
        <v>93</v>
      </c>
      <c r="G4" s="3" t="s">
        <v>94</v>
      </c>
      <c r="H4" s="3" t="s">
        <v>95</v>
      </c>
    </row>
    <row r="5" customHeight="1" spans="2:8">
      <c r="B5" s="3">
        <v>2</v>
      </c>
      <c r="C5" s="3" t="s">
        <v>96</v>
      </c>
      <c r="D5" s="3" t="s">
        <v>97</v>
      </c>
      <c r="E5" s="3" t="s">
        <v>98</v>
      </c>
      <c r="F5" s="3" t="s">
        <v>99</v>
      </c>
      <c r="G5" s="3" t="s">
        <v>100</v>
      </c>
      <c r="H5" s="3" t="s">
        <v>101</v>
      </c>
    </row>
    <row r="6" customHeight="1" spans="2:8">
      <c r="B6" s="3">
        <v>3</v>
      </c>
      <c r="C6" s="3" t="s">
        <v>102</v>
      </c>
      <c r="D6" s="3" t="s">
        <v>57</v>
      </c>
      <c r="E6" s="3" t="s">
        <v>103</v>
      </c>
      <c r="F6" s="3" t="s">
        <v>104</v>
      </c>
      <c r="G6" s="3" t="s">
        <v>105</v>
      </c>
      <c r="H6" s="3" t="s">
        <v>106</v>
      </c>
    </row>
    <row r="7" customHeight="1" spans="2:8">
      <c r="B7" s="3">
        <v>4</v>
      </c>
      <c r="C7" s="3" t="s">
        <v>107</v>
      </c>
      <c r="D7" s="3" t="s">
        <v>108</v>
      </c>
      <c r="E7" s="3" t="s">
        <v>109</v>
      </c>
      <c r="F7" s="3" t="s">
        <v>110</v>
      </c>
      <c r="G7" s="3" t="s">
        <v>111</v>
      </c>
      <c r="H7" s="3" t="s">
        <v>112</v>
      </c>
    </row>
    <row r="8" customHeight="1" spans="2:8">
      <c r="B8" s="3">
        <v>16</v>
      </c>
      <c r="C8" s="3" t="s">
        <v>113</v>
      </c>
      <c r="D8" s="3" t="s">
        <v>114</v>
      </c>
      <c r="E8" s="3" t="s">
        <v>115</v>
      </c>
      <c r="F8" s="3" t="s">
        <v>116</v>
      </c>
      <c r="G8" s="3" t="s">
        <v>117</v>
      </c>
      <c r="H8" s="3" t="s">
        <v>118</v>
      </c>
    </row>
    <row r="9" customHeight="1" spans="2:8">
      <c r="B9" s="3">
        <v>67</v>
      </c>
      <c r="C9" s="3" t="s">
        <v>119</v>
      </c>
      <c r="D9" s="3" t="s">
        <v>120</v>
      </c>
      <c r="E9" s="3" t="s">
        <v>121</v>
      </c>
      <c r="F9" s="3" t="s">
        <v>122</v>
      </c>
      <c r="H9" s="3" t="s">
        <v>123</v>
      </c>
    </row>
    <row r="10" customHeight="1" spans="2:8">
      <c r="B10" s="3">
        <v>79</v>
      </c>
      <c r="C10" s="3" t="s">
        <v>124</v>
      </c>
      <c r="D10" s="3" t="s">
        <v>125</v>
      </c>
      <c r="E10" s="3">
        <v>245</v>
      </c>
      <c r="F10" s="3" t="s">
        <v>110</v>
      </c>
      <c r="G10" s="3" t="s">
        <v>126</v>
      </c>
      <c r="H10" s="3" t="s">
        <v>127</v>
      </c>
    </row>
    <row r="11" customHeight="1" spans="2:8">
      <c r="B11" s="3">
        <v>80</v>
      </c>
      <c r="C11" s="3" t="s">
        <v>128</v>
      </c>
      <c r="D11" s="3" t="s">
        <v>129</v>
      </c>
      <c r="E11" s="3" t="s">
        <v>31</v>
      </c>
      <c r="F11" s="3" t="s">
        <v>104</v>
      </c>
      <c r="G11" s="3" t="s">
        <v>130</v>
      </c>
      <c r="H11" s="3" t="s">
        <v>131</v>
      </c>
    </row>
    <row r="12" customHeight="1" spans="2:8">
      <c r="B12" s="3">
        <v>81</v>
      </c>
      <c r="C12" s="3" t="s">
        <v>128</v>
      </c>
      <c r="D12" s="3" t="s">
        <v>132</v>
      </c>
      <c r="E12" s="3" t="s">
        <v>31</v>
      </c>
      <c r="F12" s="3" t="s">
        <v>110</v>
      </c>
      <c r="G12" s="3" t="s">
        <v>133</v>
      </c>
      <c r="H12" s="3" t="s">
        <v>134</v>
      </c>
    </row>
  </sheetData>
  <conditionalFormatting sqref="F4:F1048576">
    <cfRule type="expression" dxfId="0" priority="6">
      <formula>MOD(ROW(),2)=1</formula>
    </cfRule>
  </conditionalFormatting>
  <conditionalFormatting sqref="G4:G1048576">
    <cfRule type="expression" dxfId="0" priority="5">
      <formula>MOD(ROW(),2)=1</formula>
    </cfRule>
  </conditionalFormatting>
  <conditionalFormatting sqref="H4:H1048576">
    <cfRule type="expression" dxfId="0" priority="4">
      <formula>MOD(ROW(),2)=1</formula>
    </cfRule>
  </conditionalFormatting>
  <conditionalFormatting sqref="C4:E1048576">
    <cfRule type="expression" dxfId="0" priority="7">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Q20"/>
  <sheetViews>
    <sheetView showGridLines="0" topLeftCell="H1" workbookViewId="0">
      <selection activeCell="Q7" sqref="Q7"/>
    </sheetView>
  </sheetViews>
  <sheetFormatPr defaultColWidth="9" defaultRowHeight="20.1" customHeight="1"/>
  <cols>
    <col min="1" max="1" width="3.625" style="3" customWidth="1"/>
    <col min="2" max="2" width="3.625" style="3" hidden="1" customWidth="1"/>
    <col min="3" max="4" width="14.5" style="3" customWidth="1"/>
    <col min="5" max="5" width="14.5" style="7" customWidth="1"/>
    <col min="6" max="8" width="14.5" style="3" customWidth="1"/>
    <col min="9" max="9" width="14.5" style="16" customWidth="1"/>
    <col min="10" max="16" width="14.5" style="3" customWidth="1"/>
    <col min="17" max="17" width="12.125" style="17" customWidth="1"/>
    <col min="18" max="16384" width="9" style="3"/>
  </cols>
  <sheetData>
    <row r="1" s="1" customFormat="1" ht="50.1" customHeight="1" spans="2:17">
      <c r="C1" s="3"/>
      <c r="D1" s="3"/>
      <c r="E1" s="3"/>
      <c r="F1" s="3"/>
      <c r="G1" s="3"/>
      <c r="H1" s="3"/>
      <c r="I1" s="3"/>
      <c r="J1" s="3"/>
      <c r="K1" s="3"/>
      <c r="L1" s="3"/>
      <c r="M1" s="3"/>
      <c r="N1" s="3"/>
      <c r="O1" s="3"/>
      <c r="P1" s="3"/>
    </row>
    <row r="2" s="1" customFormat="1" ht="39.95" customHeight="1" spans="2:17">
      <c r="C2" s="4" t="s">
        <v>135</v>
      </c>
      <c r="D2" s="3"/>
      <c r="E2" s="3"/>
      <c r="F2" s="3"/>
      <c r="G2" s="3"/>
      <c r="H2" s="3"/>
      <c r="I2" s="3"/>
      <c r="J2" s="3"/>
      <c r="K2" s="3"/>
      <c r="L2" s="3"/>
      <c r="M2" s="3"/>
      <c r="N2" s="3"/>
      <c r="O2" s="3"/>
      <c r="P2" s="3"/>
    </row>
    <row r="3" s="2" customFormat="1" ht="30" customHeight="1" spans="2:17">
      <c r="C3" s="5" t="s">
        <v>32</v>
      </c>
      <c r="D3" s="5" t="s">
        <v>136</v>
      </c>
      <c r="E3" s="5" t="s">
        <v>137</v>
      </c>
      <c r="F3" s="5" t="s">
        <v>138</v>
      </c>
      <c r="G3" s="5" t="s">
        <v>85</v>
      </c>
      <c r="H3" s="5" t="s">
        <v>139</v>
      </c>
      <c r="I3" s="5" t="s">
        <v>50</v>
      </c>
      <c r="J3" s="5" t="s">
        <v>133</v>
      </c>
      <c r="K3" s="5" t="s">
        <v>140</v>
      </c>
      <c r="L3" s="5" t="s">
        <v>141</v>
      </c>
      <c r="M3" s="5" t="s">
        <v>142</v>
      </c>
      <c r="N3" s="5" t="s">
        <v>143</v>
      </c>
      <c r="O3" s="5" t="s">
        <v>144</v>
      </c>
      <c r="P3" s="5" t="s">
        <v>54</v>
      </c>
      <c r="Q3" s="5" t="s">
        <v>145</v>
      </c>
    </row>
    <row r="4" customHeight="1" spans="2:17">
      <c r="B4" s="3">
        <v>13</v>
      </c>
      <c r="C4" s="3" t="s">
        <v>146</v>
      </c>
      <c r="D4" s="3" t="s">
        <v>147</v>
      </c>
      <c r="E4" s="7">
        <v>43837</v>
      </c>
      <c r="F4" s="3" t="s">
        <v>96</v>
      </c>
      <c r="H4" s="3" t="s">
        <v>148</v>
      </c>
      <c r="I4" s="16" t="s">
        <v>149</v>
      </c>
      <c r="J4" s="3">
        <v>150</v>
      </c>
      <c r="K4" s="3">
        <v>1000</v>
      </c>
      <c r="M4" s="3">
        <v>0</v>
      </c>
      <c r="O4" s="3">
        <v>10</v>
      </c>
      <c r="P4" s="3" t="s">
        <v>98</v>
      </c>
      <c r="Q4"/>
    </row>
    <row r="5" customHeight="1" spans="2:17">
      <c r="B5" s="3">
        <v>16</v>
      </c>
      <c r="C5" s="3" t="s">
        <v>150</v>
      </c>
      <c r="D5" s="3" t="s">
        <v>147</v>
      </c>
      <c r="E5" s="7">
        <v>43606</v>
      </c>
      <c r="F5" s="3" t="s">
        <v>151</v>
      </c>
      <c r="G5" s="3" t="s">
        <v>152</v>
      </c>
      <c r="H5" s="3" t="s">
        <v>153</v>
      </c>
      <c r="I5" s="16" t="s">
        <v>154</v>
      </c>
      <c r="J5" s="3">
        <v>5500</v>
      </c>
      <c r="K5" s="3">
        <v>0</v>
      </c>
      <c r="M5" s="3">
        <v>0</v>
      </c>
      <c r="O5" s="3">
        <v>30</v>
      </c>
      <c r="P5" s="3" t="s">
        <v>155</v>
      </c>
    </row>
    <row r="6" customHeight="1" spans="2:17">
      <c r="B6" s="3">
        <v>29</v>
      </c>
      <c r="C6" s="3" t="s">
        <v>156</v>
      </c>
      <c r="D6" s="3" t="s">
        <v>157</v>
      </c>
      <c r="E6" s="7">
        <v>44287</v>
      </c>
      <c r="F6" s="3" t="s">
        <v>113</v>
      </c>
      <c r="G6" s="3" t="s">
        <v>114</v>
      </c>
      <c r="H6" s="3">
        <v>1</v>
      </c>
      <c r="I6" s="16" t="s">
        <v>158</v>
      </c>
      <c r="J6" s="3">
        <v>2000</v>
      </c>
      <c r="K6" s="3">
        <v>1000</v>
      </c>
      <c r="M6" s="3">
        <v>0</v>
      </c>
      <c r="O6" s="3">
        <v>20</v>
      </c>
      <c r="P6" s="3" t="s">
        <v>98</v>
      </c>
      <c r="Q6" s="17" t="s">
        <v>159</v>
      </c>
    </row>
    <row r="7" customHeight="1" spans="2:17">
      <c r="B7" s="3">
        <v>30</v>
      </c>
      <c r="C7" s="3" t="s">
        <v>160</v>
      </c>
      <c r="D7" s="3" t="s">
        <v>147</v>
      </c>
      <c r="E7" s="7">
        <v>44197</v>
      </c>
      <c r="F7" s="3" t="s">
        <v>90</v>
      </c>
      <c r="G7" s="3" t="s">
        <v>152</v>
      </c>
      <c r="H7" s="3">
        <v>2</v>
      </c>
      <c r="I7" s="16" t="s">
        <v>161</v>
      </c>
      <c r="J7" s="3">
        <v>2000</v>
      </c>
      <c r="K7" s="3">
        <v>500</v>
      </c>
      <c r="M7" s="3">
        <v>45</v>
      </c>
      <c r="O7" s="3">
        <v>20</v>
      </c>
      <c r="P7" s="3" t="s">
        <v>162</v>
      </c>
    </row>
    <row r="8" customHeight="1" spans="2:17">
      <c r="B8" s="3">
        <v>53</v>
      </c>
      <c r="C8" s="3" t="s">
        <v>163</v>
      </c>
      <c r="D8" s="3" t="s">
        <v>157</v>
      </c>
      <c r="E8" s="7">
        <v>44451</v>
      </c>
      <c r="F8" s="3" t="s">
        <v>90</v>
      </c>
      <c r="H8" s="3">
        <v>11</v>
      </c>
      <c r="I8" s="16" t="s">
        <v>164</v>
      </c>
      <c r="J8" s="3">
        <v>300</v>
      </c>
      <c r="K8" s="3">
        <v>1000</v>
      </c>
      <c r="M8" s="3">
        <v>0</v>
      </c>
      <c r="O8" s="3">
        <v>50</v>
      </c>
      <c r="P8" s="3" t="s">
        <v>98</v>
      </c>
    </row>
    <row r="9" customHeight="1" spans="2:17">
      <c r="B9" s="3">
        <v>83</v>
      </c>
      <c r="C9" s="3" t="s">
        <v>146</v>
      </c>
      <c r="D9" s="3" t="s">
        <v>147</v>
      </c>
      <c r="E9" s="7">
        <v>45022</v>
      </c>
      <c r="F9" s="3" t="s">
        <v>90</v>
      </c>
      <c r="G9" s="3" t="s">
        <v>91</v>
      </c>
      <c r="H9" s="3" t="s">
        <v>165</v>
      </c>
      <c r="I9" s="16" t="s">
        <v>166</v>
      </c>
      <c r="J9" s="3">
        <v>1000</v>
      </c>
      <c r="K9" s="3">
        <v>1000</v>
      </c>
      <c r="M9" s="3">
        <v>0</v>
      </c>
      <c r="O9" s="3">
        <v>20</v>
      </c>
      <c r="P9" s="3" t="s">
        <v>98</v>
      </c>
    </row>
    <row r="10" customHeight="1" spans="2:17">
      <c r="B10" s="3">
        <v>84</v>
      </c>
      <c r="C10" s="3" t="s">
        <v>167</v>
      </c>
      <c r="D10" s="3" t="s">
        <v>157</v>
      </c>
      <c r="E10" s="7">
        <v>45029</v>
      </c>
      <c r="F10" s="3" t="s">
        <v>119</v>
      </c>
      <c r="G10" s="3" t="s">
        <v>120</v>
      </c>
      <c r="H10" s="3" t="s">
        <v>168</v>
      </c>
      <c r="I10" s="16" t="s">
        <v>169</v>
      </c>
      <c r="J10" s="3">
        <v>1500</v>
      </c>
      <c r="K10" s="3">
        <v>1000</v>
      </c>
      <c r="M10" s="3">
        <v>0</v>
      </c>
      <c r="O10" s="3">
        <v>30</v>
      </c>
      <c r="P10" s="3" t="s">
        <v>115</v>
      </c>
    </row>
    <row r="11" customHeight="1" spans="2:17">
      <c r="B11" s="3">
        <v>85</v>
      </c>
      <c r="C11" s="3" t="s">
        <v>170</v>
      </c>
      <c r="D11" s="3" t="s">
        <v>157</v>
      </c>
      <c r="E11" s="7">
        <v>45029</v>
      </c>
      <c r="F11" s="3" t="s">
        <v>107</v>
      </c>
      <c r="G11" s="3" t="s">
        <v>114</v>
      </c>
      <c r="H11" s="3" t="s">
        <v>171</v>
      </c>
      <c r="I11" s="16" t="s">
        <v>172</v>
      </c>
      <c r="J11" s="3">
        <v>1000</v>
      </c>
      <c r="K11" s="3">
        <v>300</v>
      </c>
      <c r="M11" s="3">
        <v>33</v>
      </c>
      <c r="O11" s="3">
        <v>33</v>
      </c>
      <c r="P11" s="3" t="s">
        <v>109</v>
      </c>
    </row>
    <row r="12" customHeight="1" spans="2:17">
      <c r="B12" s="3">
        <v>86</v>
      </c>
      <c r="C12" s="3" t="s">
        <v>173</v>
      </c>
      <c r="D12" s="3" t="s">
        <v>157</v>
      </c>
      <c r="E12" s="7">
        <v>45024</v>
      </c>
      <c r="F12" s="3" t="s">
        <v>113</v>
      </c>
      <c r="G12" s="3" t="s">
        <v>97</v>
      </c>
      <c r="H12" s="3" t="s">
        <v>174</v>
      </c>
      <c r="I12" s="16" t="s">
        <v>175</v>
      </c>
      <c r="J12" s="3">
        <v>5000</v>
      </c>
      <c r="K12" s="3">
        <v>200</v>
      </c>
      <c r="M12" s="3">
        <v>10</v>
      </c>
      <c r="O12" s="3">
        <v>100</v>
      </c>
      <c r="P12" s="3" t="s">
        <v>98</v>
      </c>
    </row>
    <row r="13" customHeight="1" spans="2:17">
      <c r="B13" s="3">
        <v>87</v>
      </c>
      <c r="C13" s="3" t="s">
        <v>176</v>
      </c>
      <c r="D13" s="3" t="s">
        <v>157</v>
      </c>
      <c r="E13" s="7">
        <v>45027</v>
      </c>
      <c r="F13" s="3" t="s">
        <v>96</v>
      </c>
      <c r="G13" s="3" t="s">
        <v>108</v>
      </c>
      <c r="H13" s="3" t="s">
        <v>165</v>
      </c>
      <c r="I13" s="16" t="s">
        <v>177</v>
      </c>
      <c r="J13" s="3">
        <v>15000</v>
      </c>
      <c r="K13" s="3">
        <v>300</v>
      </c>
      <c r="M13" s="3">
        <v>0</v>
      </c>
      <c r="O13" s="3">
        <v>100</v>
      </c>
      <c r="P13" s="3" t="s">
        <v>98</v>
      </c>
    </row>
    <row r="14" customHeight="1" spans="2:17">
      <c r="B14" s="3">
        <v>88</v>
      </c>
      <c r="C14" s="3" t="s">
        <v>178</v>
      </c>
      <c r="D14" s="3" t="s">
        <v>157</v>
      </c>
      <c r="E14" s="7">
        <v>45030</v>
      </c>
      <c r="F14" s="3" t="s">
        <v>102</v>
      </c>
      <c r="G14" s="3" t="s">
        <v>97</v>
      </c>
      <c r="H14" s="3" t="s">
        <v>171</v>
      </c>
      <c r="I14" s="16" t="s">
        <v>179</v>
      </c>
      <c r="J14" s="3">
        <v>2000</v>
      </c>
      <c r="K14" s="3">
        <v>300</v>
      </c>
      <c r="M14" s="3">
        <v>0</v>
      </c>
      <c r="O14" s="3">
        <v>50</v>
      </c>
      <c r="P14" s="3" t="s">
        <v>98</v>
      </c>
    </row>
    <row r="15" customHeight="1" spans="2:17">
      <c r="B15" s="3">
        <v>91</v>
      </c>
      <c r="C15" s="3" t="s">
        <v>180</v>
      </c>
      <c r="D15" s="3" t="s">
        <v>157</v>
      </c>
      <c r="E15" s="7">
        <v>45194</v>
      </c>
      <c r="F15" s="3" t="s">
        <v>90</v>
      </c>
      <c r="G15" s="3" t="s">
        <v>91</v>
      </c>
      <c r="H15" s="3" t="s">
        <v>181</v>
      </c>
      <c r="I15" s="16" t="s">
        <v>182</v>
      </c>
      <c r="J15" s="3">
        <v>3000</v>
      </c>
      <c r="K15" s="3">
        <v>200</v>
      </c>
      <c r="M15" s="3">
        <v>5</v>
      </c>
      <c r="O15" s="3">
        <v>0</v>
      </c>
      <c r="P15" s="3" t="s">
        <v>92</v>
      </c>
    </row>
    <row r="16" customHeight="1" spans="2:17">
      <c r="B16" s="3">
        <v>99</v>
      </c>
      <c r="C16" s="3" t="s">
        <v>183</v>
      </c>
      <c r="D16" s="3" t="s">
        <v>157</v>
      </c>
      <c r="E16" s="7">
        <v>45660</v>
      </c>
      <c r="F16" s="3" t="s">
        <v>90</v>
      </c>
      <c r="G16" s="3" t="s">
        <v>91</v>
      </c>
      <c r="H16" s="3" t="s">
        <v>181</v>
      </c>
      <c r="I16" s="16" t="s">
        <v>184</v>
      </c>
      <c r="J16" s="3">
        <v>2000</v>
      </c>
      <c r="K16" s="3">
        <v>0</v>
      </c>
      <c r="M16" s="3">
        <v>0</v>
      </c>
      <c r="O16" s="3">
        <v>50</v>
      </c>
      <c r="P16" s="3" t="s">
        <v>103</v>
      </c>
    </row>
    <row r="17" customHeight="1" spans="2:16">
      <c r="B17" s="3">
        <v>102</v>
      </c>
      <c r="C17" s="3" t="s">
        <v>185</v>
      </c>
      <c r="D17" s="3" t="s">
        <v>157</v>
      </c>
      <c r="E17" s="7">
        <v>45660</v>
      </c>
      <c r="F17" s="3" t="s">
        <v>128</v>
      </c>
      <c r="G17" s="3" t="s">
        <v>129</v>
      </c>
      <c r="H17" s="3">
        <v>3</v>
      </c>
      <c r="I17" s="16" t="s">
        <v>186</v>
      </c>
      <c r="J17" s="3">
        <v>1888</v>
      </c>
      <c r="K17" s="3">
        <v>0</v>
      </c>
      <c r="M17" s="3">
        <v>0</v>
      </c>
      <c r="O17" s="3">
        <v>100</v>
      </c>
      <c r="P17" s="3" t="s">
        <v>31</v>
      </c>
    </row>
    <row r="18" customHeight="1" spans="2:16">
      <c r="B18" s="3">
        <v>103</v>
      </c>
      <c r="C18" s="3" t="s">
        <v>187</v>
      </c>
      <c r="D18" s="3" t="s">
        <v>157</v>
      </c>
      <c r="E18" s="7">
        <v>45660</v>
      </c>
      <c r="F18" s="3" t="s">
        <v>128</v>
      </c>
      <c r="G18" s="3" t="s">
        <v>132</v>
      </c>
      <c r="H18" s="3">
        <v>2364</v>
      </c>
      <c r="I18" s="16" t="s">
        <v>188</v>
      </c>
      <c r="J18" s="3">
        <v>2136485</v>
      </c>
      <c r="K18" s="3">
        <v>0</v>
      </c>
      <c r="M18" s="3">
        <v>0</v>
      </c>
      <c r="O18" s="3">
        <v>2000</v>
      </c>
      <c r="P18" s="3">
        <v>245</v>
      </c>
    </row>
    <row r="19" customHeight="1" spans="2:16">
      <c r="B19" s="3">
        <v>104</v>
      </c>
      <c r="C19" s="3" t="s">
        <v>189</v>
      </c>
      <c r="D19" s="3" t="s">
        <v>147</v>
      </c>
      <c r="E19" s="7">
        <v>45660</v>
      </c>
      <c r="F19" s="3" t="s">
        <v>128</v>
      </c>
      <c r="G19" s="3" t="s">
        <v>125</v>
      </c>
      <c r="H19" s="3">
        <v>1</v>
      </c>
      <c r="I19" s="16" t="s">
        <v>190</v>
      </c>
      <c r="J19" s="3">
        <v>20000</v>
      </c>
      <c r="K19" s="3">
        <v>0</v>
      </c>
      <c r="M19" s="3">
        <v>0</v>
      </c>
      <c r="O19" s="3">
        <v>2000</v>
      </c>
      <c r="P19" s="3" t="s">
        <v>98</v>
      </c>
    </row>
    <row r="20" customHeight="1" spans="2:16">
      <c r="B20" s="3">
        <v>122</v>
      </c>
      <c r="C20" s="3" t="s">
        <v>191</v>
      </c>
      <c r="D20" s="3" t="s">
        <v>157</v>
      </c>
      <c r="E20" s="7">
        <v>46015</v>
      </c>
      <c r="F20" s="3" t="s">
        <v>90</v>
      </c>
      <c r="G20" s="3" t="s">
        <v>91</v>
      </c>
      <c r="H20" s="18">
        <v>46136</v>
      </c>
      <c r="I20" s="16" t="s">
        <v>192</v>
      </c>
      <c r="J20" s="3">
        <v>2000</v>
      </c>
      <c r="K20" s="3">
        <v>500</v>
      </c>
      <c r="M20" s="3">
        <v>5</v>
      </c>
      <c r="O20" s="3">
        <v>10</v>
      </c>
      <c r="P20" s="3" t="s">
        <v>92</v>
      </c>
    </row>
  </sheetData>
  <conditionalFormatting sqref="F4:F1048576">
    <cfRule type="expression" dxfId="0" priority="12">
      <formula>MOD(ROW(),2)=1</formula>
    </cfRule>
  </conditionalFormatting>
  <conditionalFormatting sqref="G4:G1048576">
    <cfRule type="expression" dxfId="0" priority="11">
      <formula>MOD(ROW(),2)=1</formula>
    </cfRule>
  </conditionalFormatting>
  <conditionalFormatting sqref="H4:H1048576">
    <cfRule type="expression" dxfId="0" priority="10">
      <formula>MOD(ROW(),2)=1</formula>
    </cfRule>
  </conditionalFormatting>
  <conditionalFormatting sqref="I4:I1048576">
    <cfRule type="expression" dxfId="0" priority="9">
      <formula>MOD(ROW(),2)=1</formula>
    </cfRule>
  </conditionalFormatting>
  <conditionalFormatting sqref="J4:J1048576">
    <cfRule type="expression" dxfId="0" priority="8">
      <formula>MOD(ROW(),2)=1</formula>
    </cfRule>
  </conditionalFormatting>
  <conditionalFormatting sqref="K4:K1048576">
    <cfRule type="expression" dxfId="0" priority="7">
      <formula>MOD(ROW(),2)=1</formula>
    </cfRule>
  </conditionalFormatting>
  <conditionalFormatting sqref="L4:L1048576">
    <cfRule type="expression" dxfId="0" priority="6">
      <formula>MOD(ROW(),2)=1</formula>
    </cfRule>
  </conditionalFormatting>
  <conditionalFormatting sqref="M4:M1048576">
    <cfRule type="expression" dxfId="0" priority="5">
      <formula>MOD(ROW(),2)=1</formula>
    </cfRule>
  </conditionalFormatting>
  <conditionalFormatting sqref="N4:N1048576">
    <cfRule type="expression" dxfId="0" priority="4">
      <formula>MOD(ROW(),2)=1</formula>
    </cfRule>
  </conditionalFormatting>
  <conditionalFormatting sqref="O4:O1048576">
    <cfRule type="expression" dxfId="0" priority="3">
      <formula>MOD(ROW(),2)=1</formula>
    </cfRule>
  </conditionalFormatting>
  <conditionalFormatting sqref="P4:P1048576">
    <cfRule type="expression" dxfId="0" priority="2">
      <formula>MOD(ROW(),2)=1</formula>
    </cfRule>
  </conditionalFormatting>
  <conditionalFormatting sqref="Q4:Q1048576">
    <cfRule type="expression" dxfId="0" priority="1">
      <formula>MOD(ROW(),2)=1</formula>
    </cfRule>
  </conditionalFormatting>
  <conditionalFormatting sqref="C4:E1048576">
    <cfRule type="expression" dxfId="0" priority="13">
      <formula>MOD(ROW(),2)=1</formula>
    </cfRule>
  </conditionalFormatting>
  <dataValidations count="5">
    <dataValidation type="list" allowBlank="1" showInputMessage="1" showErrorMessage="1" sqref="D4:D1048576">
      <formula1>"男,女"</formula1>
    </dataValidation>
    <dataValidation allowBlank="1" showInputMessage="1" showErrorMessage="1" sqref="E4:E1048576 A4:C1048576 H4:O1048576 Q4:XFD1048576"/>
    <dataValidation type="list" allowBlank="1" showInputMessage="1" showErrorMessage="1" sqref="F4:F1048576">
      <formula1>设置!$C$4:$C$65536</formula1>
    </dataValidation>
    <dataValidation type="list" allowBlank="1" showInputMessage="1" showErrorMessage="1" sqref="G4:G1048576">
      <formula1>设置!$D$4:$D$65536</formula1>
    </dataValidation>
    <dataValidation type="list" allowBlank="1" showInputMessage="1" showErrorMessage="1" sqref="P4:P1048576">
      <formula1>设置!$E$4:$E$65536</formula1>
    </dataValidation>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O15"/>
  <sheetViews>
    <sheetView showGridLines="0" topLeftCell="G1" workbookViewId="0">
      <selection activeCell="O7" sqref="O7"/>
    </sheetView>
  </sheetViews>
  <sheetFormatPr defaultColWidth="9" defaultRowHeight="20.1" customHeight="1"/>
  <cols>
    <col min="1" max="1" width="3.625" style="3" customWidth="1"/>
    <col min="2" max="2" width="3.625" style="3" hidden="1" customWidth="1"/>
    <col min="3" max="4" width="15.5" style="3" customWidth="1"/>
    <col min="5" max="5" width="20.875" style="16" customWidth="1"/>
    <col min="6" max="6" width="15.5" style="3" customWidth="1"/>
    <col min="7" max="7" width="15.5" style="7" customWidth="1"/>
    <col min="8" max="10" width="15.5" style="3" customWidth="1"/>
    <col min="11" max="11" width="15.5" style="7" customWidth="1"/>
    <col min="12" max="14" width="15.5" style="3" customWidth="1"/>
    <col min="15" max="15" width="12.75" style="17" customWidth="1"/>
    <col min="16" max="16384" width="9" style="3"/>
  </cols>
  <sheetData>
    <row r="1" s="1" customFormat="1" ht="50.1" customHeight="1" spans="2:15">
      <c r="C1" s="3"/>
      <c r="D1" s="3"/>
      <c r="E1" s="3"/>
      <c r="F1" s="3"/>
      <c r="G1" s="3"/>
      <c r="H1" s="3"/>
      <c r="I1" s="3"/>
      <c r="J1" s="3"/>
      <c r="K1" s="3"/>
      <c r="L1" s="3"/>
      <c r="M1" s="3"/>
      <c r="N1" s="3"/>
    </row>
    <row r="2" s="1" customFormat="1" ht="39.95" customHeight="1" spans="2:15">
      <c r="C2" s="4" t="s">
        <v>193</v>
      </c>
      <c r="D2" s="3"/>
      <c r="E2" s="3"/>
      <c r="F2" s="3"/>
      <c r="G2" s="3"/>
      <c r="H2" s="3"/>
      <c r="I2" s="3"/>
      <c r="J2" s="3"/>
      <c r="K2" s="3"/>
      <c r="L2" s="3"/>
      <c r="M2" s="3"/>
      <c r="N2" s="3"/>
    </row>
    <row r="3" s="2" customFormat="1" ht="30" customHeight="1" spans="2:15">
      <c r="C3" s="5" t="s">
        <v>194</v>
      </c>
      <c r="D3" s="5" t="s">
        <v>136</v>
      </c>
      <c r="E3" s="5" t="s">
        <v>52</v>
      </c>
      <c r="F3" s="5" t="s">
        <v>195</v>
      </c>
      <c r="G3" s="5" t="s">
        <v>196</v>
      </c>
      <c r="H3" s="5" t="s">
        <v>197</v>
      </c>
      <c r="I3" s="5" t="s">
        <v>53</v>
      </c>
      <c r="J3" s="5" t="s">
        <v>198</v>
      </c>
      <c r="K3" s="5" t="s">
        <v>199</v>
      </c>
      <c r="L3" s="5" t="s">
        <v>200</v>
      </c>
      <c r="M3" s="5" t="s">
        <v>201</v>
      </c>
      <c r="N3" s="5" t="s">
        <v>202</v>
      </c>
      <c r="O3" s="5" t="s">
        <v>145</v>
      </c>
    </row>
    <row r="4" customHeight="1" spans="2:15">
      <c r="B4" s="3">
        <v>3</v>
      </c>
      <c r="C4" s="3" t="s">
        <v>91</v>
      </c>
      <c r="D4" s="3" t="s">
        <v>147</v>
      </c>
      <c r="E4" s="16" t="s">
        <v>203</v>
      </c>
      <c r="F4" s="3" t="s">
        <v>204</v>
      </c>
      <c r="G4" s="7">
        <v>45994</v>
      </c>
      <c r="H4" s="3" t="s">
        <v>205</v>
      </c>
      <c r="I4" s="3" t="s">
        <v>65</v>
      </c>
      <c r="J4" s="3">
        <v>15257482934</v>
      </c>
      <c r="K4" s="7">
        <v>46015</v>
      </c>
      <c r="L4" s="3" t="s">
        <v>206</v>
      </c>
      <c r="M4" s="3" t="s">
        <v>207</v>
      </c>
      <c r="N4" s="3" t="s">
        <v>63</v>
      </c>
      <c r="O4"/>
    </row>
    <row r="5" customHeight="1" spans="2:15">
      <c r="B5" s="3">
        <v>31</v>
      </c>
      <c r="C5" s="3" t="s">
        <v>97</v>
      </c>
      <c r="D5" s="3" t="s">
        <v>147</v>
      </c>
      <c r="E5" s="16" t="s">
        <v>208</v>
      </c>
      <c r="F5" s="3" t="s">
        <v>204</v>
      </c>
      <c r="G5" s="7">
        <v>37500</v>
      </c>
      <c r="H5" s="3" t="s">
        <v>209</v>
      </c>
      <c r="I5" s="3" t="s">
        <v>65</v>
      </c>
      <c r="J5" s="3">
        <v>15395838493</v>
      </c>
      <c r="K5" s="7">
        <v>44567</v>
      </c>
      <c r="L5" s="3" t="s">
        <v>210</v>
      </c>
      <c r="M5" s="3" t="s">
        <v>211</v>
      </c>
      <c r="N5" s="3" t="s">
        <v>63</v>
      </c>
    </row>
    <row r="6" customHeight="1" spans="2:15">
      <c r="B6" s="3">
        <v>32</v>
      </c>
      <c r="C6" s="3" t="s">
        <v>57</v>
      </c>
      <c r="D6" s="3" t="s">
        <v>157</v>
      </c>
      <c r="E6" s="16" t="s">
        <v>212</v>
      </c>
      <c r="F6" s="3" t="s">
        <v>204</v>
      </c>
      <c r="G6" s="7">
        <v>32968</v>
      </c>
      <c r="H6" s="3" t="s">
        <v>209</v>
      </c>
      <c r="I6" s="3" t="s">
        <v>65</v>
      </c>
      <c r="J6" s="3">
        <v>15368392404</v>
      </c>
      <c r="K6" s="7">
        <v>44209</v>
      </c>
      <c r="L6" s="3" t="s">
        <v>210</v>
      </c>
      <c r="M6" s="3" t="s">
        <v>211</v>
      </c>
      <c r="N6" s="3" t="s">
        <v>63</v>
      </c>
    </row>
    <row r="7" customHeight="1" spans="2:15">
      <c r="B7" s="3">
        <v>33</v>
      </c>
      <c r="C7" s="3" t="s">
        <v>108</v>
      </c>
      <c r="D7" s="3" t="s">
        <v>157</v>
      </c>
      <c r="E7" s="16" t="s">
        <v>213</v>
      </c>
      <c r="F7" s="3" t="s">
        <v>204</v>
      </c>
      <c r="G7" s="7">
        <v>37238</v>
      </c>
      <c r="H7" s="3" t="s">
        <v>209</v>
      </c>
      <c r="I7" s="3" t="s">
        <v>65</v>
      </c>
      <c r="J7" s="3">
        <v>15247382943</v>
      </c>
      <c r="K7" s="7">
        <v>45007</v>
      </c>
      <c r="L7" s="3" t="s">
        <v>210</v>
      </c>
      <c r="M7" s="3" t="s">
        <v>211</v>
      </c>
      <c r="N7" s="3" t="s">
        <v>63</v>
      </c>
    </row>
    <row r="8" customHeight="1" spans="2:15">
      <c r="B8" s="3">
        <v>44</v>
      </c>
      <c r="C8" s="3" t="s">
        <v>114</v>
      </c>
      <c r="D8" s="3" t="s">
        <v>147</v>
      </c>
      <c r="E8" s="16" t="s">
        <v>214</v>
      </c>
      <c r="F8" s="3" t="s">
        <v>204</v>
      </c>
      <c r="G8" s="7">
        <v>37142</v>
      </c>
      <c r="H8" s="3" t="s">
        <v>210</v>
      </c>
      <c r="I8" s="3" t="s">
        <v>215</v>
      </c>
      <c r="J8" s="3">
        <v>15274384374</v>
      </c>
      <c r="K8" s="7">
        <v>44848</v>
      </c>
      <c r="L8" s="3" t="s">
        <v>210</v>
      </c>
      <c r="M8" s="3" t="s">
        <v>211</v>
      </c>
      <c r="N8" s="3" t="s">
        <v>216</v>
      </c>
    </row>
    <row r="9" customHeight="1" spans="2:15">
      <c r="B9" s="3">
        <v>45</v>
      </c>
      <c r="C9" s="3" t="s">
        <v>120</v>
      </c>
      <c r="D9" s="3" t="s">
        <v>157</v>
      </c>
      <c r="E9" s="16" t="s">
        <v>217</v>
      </c>
      <c r="F9" s="3" t="s">
        <v>204</v>
      </c>
      <c r="G9" s="7">
        <v>35027</v>
      </c>
      <c r="H9" s="3" t="s">
        <v>210</v>
      </c>
      <c r="I9" s="3" t="s">
        <v>65</v>
      </c>
      <c r="J9" s="3">
        <v>15375648394</v>
      </c>
      <c r="K9" s="7">
        <v>44687</v>
      </c>
      <c r="L9" s="3" t="s">
        <v>210</v>
      </c>
      <c r="M9" s="3" t="s">
        <v>211</v>
      </c>
      <c r="N9" s="3" t="s">
        <v>218</v>
      </c>
    </row>
    <row r="10" customHeight="1" spans="2:15">
      <c r="B10" s="3">
        <v>50</v>
      </c>
      <c r="D10" s="3" t="s">
        <v>157</v>
      </c>
      <c r="E10" s="16" t="s">
        <v>219</v>
      </c>
      <c r="F10" s="3" t="s">
        <v>220</v>
      </c>
      <c r="H10" s="3">
        <v>44</v>
      </c>
      <c r="I10" s="3">
        <v>33</v>
      </c>
      <c r="J10" s="3">
        <v>222222222222222</v>
      </c>
      <c r="L10" s="3" t="s">
        <v>210</v>
      </c>
      <c r="M10" s="3" t="s">
        <v>211</v>
      </c>
      <c r="N10" s="3">
        <v>1212</v>
      </c>
    </row>
    <row r="11" customHeight="1" spans="2:15">
      <c r="B11" s="3">
        <v>52</v>
      </c>
      <c r="C11" s="3" t="s">
        <v>125</v>
      </c>
      <c r="D11" s="3" t="s">
        <v>157</v>
      </c>
      <c r="E11" s="16" t="s">
        <v>221</v>
      </c>
      <c r="F11" s="3" t="s">
        <v>204</v>
      </c>
      <c r="G11" s="7">
        <v>44987</v>
      </c>
      <c r="H11" s="3" t="s">
        <v>209</v>
      </c>
      <c r="I11" s="3" t="s">
        <v>65</v>
      </c>
      <c r="J11" s="3">
        <v>15555875555</v>
      </c>
      <c r="K11" s="7">
        <v>45344</v>
      </c>
      <c r="L11" s="3" t="s">
        <v>210</v>
      </c>
      <c r="M11" s="3" t="s">
        <v>222</v>
      </c>
    </row>
    <row r="12" customHeight="1" spans="2:15">
      <c r="B12" s="3">
        <v>67</v>
      </c>
      <c r="C12" s="3" t="s">
        <v>57</v>
      </c>
      <c r="D12" s="3" t="s">
        <v>157</v>
      </c>
      <c r="E12" s="16" t="s">
        <v>223</v>
      </c>
      <c r="F12" s="3" t="s">
        <v>204</v>
      </c>
      <c r="G12" s="7">
        <v>46004</v>
      </c>
      <c r="H12" s="3" t="s">
        <v>209</v>
      </c>
      <c r="I12" s="3" t="s">
        <v>68</v>
      </c>
      <c r="J12" s="3">
        <v>235151532</v>
      </c>
      <c r="K12" s="7">
        <v>45691</v>
      </c>
      <c r="L12" s="3" t="s">
        <v>210</v>
      </c>
      <c r="M12" s="3" t="s">
        <v>222</v>
      </c>
      <c r="N12" s="3" t="s">
        <v>218</v>
      </c>
    </row>
    <row r="13" customHeight="1" spans="2:15">
      <c r="B13" s="3">
        <v>68</v>
      </c>
      <c r="C13" s="3" t="s">
        <v>132</v>
      </c>
      <c r="D13" s="3" t="s">
        <v>147</v>
      </c>
      <c r="E13" s="16" t="s">
        <v>224</v>
      </c>
      <c r="F13" s="3" t="s">
        <v>225</v>
      </c>
      <c r="G13" s="7">
        <v>38162</v>
      </c>
      <c r="H13" s="3" t="s">
        <v>209</v>
      </c>
      <c r="I13" s="3">
        <v>223</v>
      </c>
      <c r="J13" s="3">
        <v>12312312</v>
      </c>
      <c r="K13" s="7">
        <v>45346</v>
      </c>
      <c r="L13" s="3" t="s">
        <v>210</v>
      </c>
      <c r="M13" s="3" t="s">
        <v>222</v>
      </c>
      <c r="N13" s="3" t="s">
        <v>226</v>
      </c>
    </row>
    <row r="14" customHeight="1" spans="2:15">
      <c r="B14" s="3">
        <v>71</v>
      </c>
      <c r="C14" s="3" t="s">
        <v>129</v>
      </c>
      <c r="D14" s="3" t="s">
        <v>147</v>
      </c>
      <c r="E14" s="16" t="s">
        <v>227</v>
      </c>
      <c r="F14" s="3" t="s">
        <v>228</v>
      </c>
      <c r="G14" s="7">
        <v>37288</v>
      </c>
      <c r="H14" s="3" t="s">
        <v>209</v>
      </c>
      <c r="I14" s="3" t="s">
        <v>68</v>
      </c>
      <c r="J14" s="3">
        <v>1231</v>
      </c>
      <c r="K14" s="7">
        <v>44962</v>
      </c>
      <c r="L14" s="3" t="s">
        <v>210</v>
      </c>
      <c r="M14" s="3" t="s">
        <v>222</v>
      </c>
      <c r="N14" s="3" t="s">
        <v>229</v>
      </c>
    </row>
    <row r="15" customHeight="1" spans="2:15">
      <c r="B15" s="3">
        <v>72</v>
      </c>
      <c r="C15" s="3" t="s">
        <v>132</v>
      </c>
      <c r="D15" s="3" t="s">
        <v>147</v>
      </c>
      <c r="E15" s="16" t="s">
        <v>230</v>
      </c>
      <c r="F15" s="3" t="s">
        <v>228</v>
      </c>
      <c r="G15" s="7">
        <v>45663</v>
      </c>
      <c r="H15" s="3" t="s">
        <v>231</v>
      </c>
      <c r="I15" s="3" t="s">
        <v>68</v>
      </c>
      <c r="J15" s="3">
        <v>144324242</v>
      </c>
      <c r="K15" s="7">
        <v>45663</v>
      </c>
      <c r="L15" s="3" t="s">
        <v>210</v>
      </c>
      <c r="M15" s="3" t="s">
        <v>222</v>
      </c>
      <c r="N15" s="3" t="s">
        <v>232</v>
      </c>
    </row>
  </sheetData>
  <conditionalFormatting sqref="J4">
    <cfRule type="expression" dxfId="0" priority="59">
      <formula>MOD(ROW(),2)=1</formula>
    </cfRule>
  </conditionalFormatting>
  <conditionalFormatting sqref="E4:E9">
    <cfRule type="expression" dxfId="0" priority="3">
      <formula>MOD(ROW(),2)=1</formula>
    </cfRule>
  </conditionalFormatting>
  <conditionalFormatting sqref="F4:F10">
    <cfRule type="expression" dxfId="0" priority="63">
      <formula>MOD(ROW(),2)=1</formula>
    </cfRule>
  </conditionalFormatting>
  <conditionalFormatting sqref="F11:F1048576">
    <cfRule type="expression" dxfId="0" priority="73">
      <formula>MOD(ROW(),2)=1</formula>
    </cfRule>
  </conditionalFormatting>
  <conditionalFormatting sqref="G4:G10">
    <cfRule type="expression" dxfId="0" priority="62">
      <formula>MOD(ROW(),2)=1</formula>
    </cfRule>
  </conditionalFormatting>
  <conditionalFormatting sqref="G11:G1048576">
    <cfRule type="expression" dxfId="0" priority="72">
      <formula>MOD(ROW(),2)=1</formula>
    </cfRule>
  </conditionalFormatting>
  <conditionalFormatting sqref="H4:H10">
    <cfRule type="expression" dxfId="0" priority="61">
      <formula>MOD(ROW(),2)=1</formula>
    </cfRule>
  </conditionalFormatting>
  <conditionalFormatting sqref="H11:H1048576">
    <cfRule type="expression" dxfId="0" priority="71">
      <formula>MOD(ROW(),2)=1</formula>
    </cfRule>
  </conditionalFormatting>
  <conditionalFormatting sqref="I4:I10">
    <cfRule type="expression" dxfId="0" priority="60">
      <formula>MOD(ROW(),2)=1</formula>
    </cfRule>
  </conditionalFormatting>
  <conditionalFormatting sqref="I11:I1048576">
    <cfRule type="expression" dxfId="0" priority="70">
      <formula>MOD(ROW(),2)=1</formula>
    </cfRule>
  </conditionalFormatting>
  <conditionalFormatting sqref="J5:J10">
    <cfRule type="expression" dxfId="0" priority="4">
      <formula>MOD(ROW(),2)=1</formula>
    </cfRule>
  </conditionalFormatting>
  <conditionalFormatting sqref="J11:J1048576">
    <cfRule type="expression" dxfId="0" priority="69">
      <formula>MOD(ROW(),2)=1</formula>
    </cfRule>
  </conditionalFormatting>
  <conditionalFormatting sqref="K4:K10">
    <cfRule type="expression" dxfId="0" priority="58">
      <formula>MOD(ROW(),2)=1</formula>
    </cfRule>
  </conditionalFormatting>
  <conditionalFormatting sqref="K11:K1048576">
    <cfRule type="expression" dxfId="0" priority="68">
      <formula>MOD(ROW(),2)=1</formula>
    </cfRule>
  </conditionalFormatting>
  <conditionalFormatting sqref="L4:L10">
    <cfRule type="expression" dxfId="0" priority="57">
      <formula>MOD(ROW(),2)=1</formula>
    </cfRule>
  </conditionalFormatting>
  <conditionalFormatting sqref="L11:L1048576">
    <cfRule type="expression" dxfId="0" priority="67">
      <formula>MOD(ROW(),2)=1</formula>
    </cfRule>
  </conditionalFormatting>
  <conditionalFormatting sqref="M4:M10">
    <cfRule type="expression" dxfId="0" priority="56">
      <formula>MOD(ROW(),2)=1</formula>
    </cfRule>
  </conditionalFormatting>
  <conditionalFormatting sqref="M11:M1048576">
    <cfRule type="expression" dxfId="0" priority="66">
      <formula>MOD(ROW(),2)=1</formula>
    </cfRule>
  </conditionalFormatting>
  <conditionalFormatting sqref="N4:N10">
    <cfRule type="expression" dxfId="0" priority="55">
      <formula>MOD(ROW(),2)=1</formula>
    </cfRule>
  </conditionalFormatting>
  <conditionalFormatting sqref="N11:N1048576">
    <cfRule type="expression" dxfId="0" priority="65">
      <formula>MOD(ROW(),2)=1</formula>
    </cfRule>
  </conditionalFormatting>
  <conditionalFormatting sqref="O4:O10">
    <cfRule type="expression" dxfId="0" priority="1">
      <formula>MOD(ROW(),2)=1</formula>
    </cfRule>
  </conditionalFormatting>
  <conditionalFormatting sqref="O11:O1048576">
    <cfRule type="expression" dxfId="0" priority="2">
      <formula>MOD(ROW(),2)=1</formula>
    </cfRule>
  </conditionalFormatting>
  <conditionalFormatting sqref="C4:D9 C10:E10">
    <cfRule type="expression" dxfId="0" priority="64">
      <formula>MOD(ROW(),2)=1</formula>
    </cfRule>
  </conditionalFormatting>
  <conditionalFormatting sqref="C11:E1048576">
    <cfRule type="expression" dxfId="0" priority="74">
      <formula>MOD(ROW(),2)=1</formula>
    </cfRule>
  </conditionalFormatting>
  <dataValidations count="4">
    <dataValidation type="list" allowBlank="1" showInputMessage="1" sqref="C4:C1048576">
      <formula1>设置!$D$4:$D$65536</formula1>
    </dataValidation>
    <dataValidation type="list" allowBlank="1" showInputMessage="1" showErrorMessage="1" sqref="D4:D1048576">
      <formula1>"男,女"</formula1>
    </dataValidation>
    <dataValidation type="list" allowBlank="1" showInputMessage="1" showErrorMessage="1" sqref="L4:L1048576">
      <formula1>"在职,离职"</formula1>
    </dataValidation>
    <dataValidation allowBlank="1" showInputMessage="1" showErrorMessage="1" sqref="A4:B1048576 E4:K1048576 M4:XFD1048576"/>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B1:I18"/>
  <sheetViews>
    <sheetView showGridLines="0" topLeftCell="A10" workbookViewId="0">
      <selection activeCell="F23" sqref="F23"/>
    </sheetView>
  </sheetViews>
  <sheetFormatPr defaultColWidth="9" defaultRowHeight="20.1" customHeight="1"/>
  <cols>
    <col min="1" max="1" width="3.625" style="3" customWidth="1"/>
    <col min="2" max="2" width="3.625" style="3" hidden="1" customWidth="1"/>
    <col min="3" max="3" width="15.5" style="7" customWidth="1"/>
    <col min="4" max="9" width="15.5" style="3" customWidth="1"/>
    <col min="10" max="16384" width="9" style="3"/>
  </cols>
  <sheetData>
    <row r="1" s="1" customFormat="1" ht="50.1" customHeight="1" spans="2:9">
      <c r="C1" s="3"/>
      <c r="D1" s="3"/>
      <c r="E1" s="3"/>
      <c r="F1" s="3"/>
      <c r="G1" s="3"/>
      <c r="H1" s="3"/>
      <c r="I1" s="3"/>
    </row>
    <row r="2" s="1" customFormat="1" ht="39.95" customHeight="1" spans="2:9">
      <c r="C2" s="4" t="s">
        <v>233</v>
      </c>
      <c r="D2" s="3"/>
      <c r="E2" s="3"/>
      <c r="F2" s="3"/>
      <c r="G2" s="3"/>
      <c r="H2" s="3"/>
      <c r="I2" s="3"/>
    </row>
    <row r="3" s="2" customFormat="1" ht="30" customHeight="1" spans="2:9">
      <c r="C3" s="5" t="s">
        <v>234</v>
      </c>
      <c r="D3" s="5" t="s">
        <v>235</v>
      </c>
      <c r="E3" s="5" t="s">
        <v>236</v>
      </c>
      <c r="F3" s="5" t="s">
        <v>237</v>
      </c>
      <c r="G3" s="5" t="s">
        <v>87</v>
      </c>
      <c r="H3" s="5" t="s">
        <v>238</v>
      </c>
      <c r="I3" s="5" t="s">
        <v>239</v>
      </c>
    </row>
    <row r="4" customHeight="1" spans="2:9">
      <c r="B4" s="3">
        <v>8</v>
      </c>
      <c r="C4" s="7">
        <v>44287</v>
      </c>
      <c r="D4" s="3" t="s">
        <v>240</v>
      </c>
      <c r="E4" s="3">
        <v>500</v>
      </c>
      <c r="F4" s="3">
        <v>2000</v>
      </c>
      <c r="G4" s="3" t="s">
        <v>122</v>
      </c>
      <c r="H4" s="3" t="s">
        <v>91</v>
      </c>
      <c r="I4" s="3" t="s">
        <v>241</v>
      </c>
    </row>
    <row r="5" customHeight="1" spans="2:9">
      <c r="B5" s="3">
        <v>9</v>
      </c>
      <c r="C5" s="7">
        <v>44197</v>
      </c>
      <c r="D5" s="3" t="s">
        <v>160</v>
      </c>
      <c r="E5" s="3">
        <v>500</v>
      </c>
      <c r="F5" s="3">
        <v>2000</v>
      </c>
      <c r="G5" s="3" t="s">
        <v>99</v>
      </c>
      <c r="H5" s="3" t="s">
        <v>91</v>
      </c>
    </row>
    <row r="6" customHeight="1" spans="2:9">
      <c r="B6" s="3">
        <v>10</v>
      </c>
      <c r="C6" s="7">
        <v>44378</v>
      </c>
      <c r="D6" s="3" t="s">
        <v>242</v>
      </c>
      <c r="E6" s="3">
        <v>1500</v>
      </c>
      <c r="F6" s="3">
        <v>2000</v>
      </c>
      <c r="G6" s="3" t="s">
        <v>110</v>
      </c>
      <c r="H6" s="3" t="s">
        <v>114</v>
      </c>
    </row>
    <row r="7" customHeight="1" spans="2:9">
      <c r="B7" s="3">
        <v>32</v>
      </c>
      <c r="C7" s="7">
        <v>44800</v>
      </c>
      <c r="D7" s="3" t="s">
        <v>146</v>
      </c>
      <c r="E7" s="3">
        <v>1000</v>
      </c>
      <c r="F7" s="3">
        <v>1000</v>
      </c>
      <c r="G7" s="3" t="s">
        <v>110</v>
      </c>
      <c r="H7" s="3" t="s">
        <v>243</v>
      </c>
    </row>
    <row r="8" customHeight="1" spans="2:9">
      <c r="B8" s="3">
        <v>33</v>
      </c>
      <c r="C8" s="7">
        <v>44800</v>
      </c>
      <c r="D8" s="3" t="s">
        <v>167</v>
      </c>
      <c r="E8" s="3">
        <v>1000</v>
      </c>
      <c r="F8" s="3">
        <v>1000</v>
      </c>
      <c r="G8" s="3" t="s">
        <v>122</v>
      </c>
      <c r="H8" s="3" t="s">
        <v>243</v>
      </c>
    </row>
    <row r="9" customHeight="1" spans="2:9">
      <c r="B9" s="3">
        <v>34</v>
      </c>
      <c r="C9" s="7">
        <v>44800</v>
      </c>
      <c r="D9" s="3" t="s">
        <v>156</v>
      </c>
      <c r="E9" s="3">
        <v>1000</v>
      </c>
      <c r="F9" s="3">
        <v>1000</v>
      </c>
      <c r="G9" s="3" t="s">
        <v>122</v>
      </c>
      <c r="H9" s="3" t="s">
        <v>243</v>
      </c>
    </row>
    <row r="10" customHeight="1" spans="2:9">
      <c r="B10" s="3">
        <v>35</v>
      </c>
      <c r="C10" s="7">
        <v>44786</v>
      </c>
      <c r="D10" s="3" t="s">
        <v>163</v>
      </c>
      <c r="E10" s="3">
        <v>1000</v>
      </c>
      <c r="F10" s="3">
        <v>2600</v>
      </c>
      <c r="G10" s="3" t="s">
        <v>99</v>
      </c>
      <c r="H10" s="3" t="s">
        <v>91</v>
      </c>
    </row>
    <row r="11" customHeight="1" spans="2:9">
      <c r="B11" s="3">
        <v>72</v>
      </c>
      <c r="C11" s="7">
        <v>44806</v>
      </c>
      <c r="D11" s="3" t="s">
        <v>170</v>
      </c>
      <c r="E11" s="3">
        <v>300</v>
      </c>
      <c r="F11" s="3">
        <v>400</v>
      </c>
      <c r="G11" s="3" t="s">
        <v>99</v>
      </c>
      <c r="H11" s="3" t="s">
        <v>243</v>
      </c>
    </row>
    <row r="12" customHeight="1" spans="2:9">
      <c r="B12" s="3">
        <v>73</v>
      </c>
      <c r="C12" s="7">
        <v>44785</v>
      </c>
      <c r="D12" s="3" t="s">
        <v>173</v>
      </c>
      <c r="E12" s="3">
        <v>200</v>
      </c>
      <c r="F12" s="3">
        <v>700</v>
      </c>
      <c r="G12" s="3" t="s">
        <v>99</v>
      </c>
      <c r="H12" s="3" t="s">
        <v>114</v>
      </c>
    </row>
    <row r="13" customHeight="1" spans="2:9">
      <c r="B13" s="3">
        <v>74</v>
      </c>
      <c r="C13" s="7">
        <v>45023</v>
      </c>
      <c r="D13" s="3" t="s">
        <v>176</v>
      </c>
      <c r="E13" s="3">
        <v>300</v>
      </c>
      <c r="F13" s="3">
        <v>1000</v>
      </c>
      <c r="G13" s="3" t="s">
        <v>99</v>
      </c>
      <c r="H13" s="3" t="s">
        <v>120</v>
      </c>
    </row>
    <row r="14" customHeight="1" spans="2:9">
      <c r="B14" s="3">
        <v>75</v>
      </c>
      <c r="C14" s="7">
        <v>44659</v>
      </c>
      <c r="D14" s="3" t="s">
        <v>178</v>
      </c>
      <c r="E14" s="3">
        <v>300</v>
      </c>
      <c r="F14" s="3">
        <v>700</v>
      </c>
      <c r="G14" s="3" t="s">
        <v>122</v>
      </c>
      <c r="H14" s="3" t="s">
        <v>108</v>
      </c>
    </row>
    <row r="15" customHeight="1" spans="2:9">
      <c r="B15" s="3">
        <v>83</v>
      </c>
      <c r="C15" s="7">
        <v>45194</v>
      </c>
      <c r="D15" s="3" t="s">
        <v>180</v>
      </c>
      <c r="E15" s="3">
        <v>200</v>
      </c>
      <c r="F15" s="3">
        <v>1000</v>
      </c>
      <c r="G15" s="3" t="s">
        <v>122</v>
      </c>
      <c r="H15" s="3" t="s">
        <v>244</v>
      </c>
      <c r="I15" s="3" t="s">
        <v>245</v>
      </c>
    </row>
    <row r="16" customHeight="1" spans="2:9">
      <c r="B16" s="3">
        <v>93</v>
      </c>
      <c r="C16" s="7">
        <v>45660</v>
      </c>
      <c r="D16" s="3" t="s">
        <v>246</v>
      </c>
      <c r="E16" s="3">
        <v>1200</v>
      </c>
      <c r="F16" s="3">
        <v>1500</v>
      </c>
      <c r="G16" s="3" t="s">
        <v>110</v>
      </c>
      <c r="H16" s="3" t="s">
        <v>247</v>
      </c>
      <c r="I16" s="3" t="s">
        <v>248</v>
      </c>
    </row>
    <row r="17" customHeight="1" spans="2:9">
      <c r="B17" s="3">
        <v>94</v>
      </c>
      <c r="C17" s="7">
        <v>45660</v>
      </c>
      <c r="D17" s="3" t="s">
        <v>249</v>
      </c>
      <c r="E17" s="3">
        <v>100000</v>
      </c>
      <c r="F17" s="3">
        <v>100000</v>
      </c>
      <c r="G17" s="3" t="s">
        <v>110</v>
      </c>
      <c r="H17" s="3" t="s">
        <v>250</v>
      </c>
      <c r="I17" s="3" t="s">
        <v>251</v>
      </c>
    </row>
    <row r="18" customHeight="1" spans="2:9">
      <c r="B18" s="3">
        <v>106</v>
      </c>
      <c r="C18" s="7">
        <v>46015</v>
      </c>
      <c r="D18" s="3" t="s">
        <v>191</v>
      </c>
      <c r="E18" s="3">
        <v>500</v>
      </c>
      <c r="F18" s="3">
        <v>1500</v>
      </c>
      <c r="G18" s="3" t="s">
        <v>99</v>
      </c>
    </row>
  </sheetData>
  <conditionalFormatting sqref="F4:F1048576">
    <cfRule type="expression" dxfId="0" priority="9">
      <formula>MOD(ROW(),2)=1</formula>
    </cfRule>
  </conditionalFormatting>
  <conditionalFormatting sqref="G4:G1048576">
    <cfRule type="expression" dxfId="0" priority="8">
      <formula>MOD(ROW(),2)=1</formula>
    </cfRule>
  </conditionalFormatting>
  <conditionalFormatting sqref="H4:H1048576">
    <cfRule type="expression" dxfId="0" priority="7">
      <formula>MOD(ROW(),2)=1</formula>
    </cfRule>
  </conditionalFormatting>
  <conditionalFormatting sqref="I4:I1048576">
    <cfRule type="expression" dxfId="0" priority="6">
      <formula>MOD(ROW(),2)=1</formula>
    </cfRule>
  </conditionalFormatting>
  <conditionalFormatting sqref="C4:E1048576">
    <cfRule type="expression" dxfId="0" priority="10">
      <formula>MOD(ROW(),2)=1</formula>
    </cfRule>
  </conditionalFormatting>
  <dataValidations count="2">
    <dataValidation type="list" allowBlank="1" showInputMessage="1" showErrorMessage="1" sqref="G4:G1048576">
      <formula1>设置!$F$4:$F$65536</formula1>
    </dataValidation>
    <dataValidation allowBlank="1" showInputMessage="1" showErrorMessage="1" sqref="A4:F1048576 H4:XFD1048576"/>
  </dataValidations>
  <pageMargins left="0.75" right="0.75" top="1" bottom="1" header="0.5" footer="0.5"/>
  <pageSetup paperSize="9" scale="74" orientation="portrait"/>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C1:F17"/>
  <sheetViews>
    <sheetView showGridLines="0" workbookViewId="0">
      <selection activeCell="E4" sqref="E4"/>
    </sheetView>
  </sheetViews>
  <sheetFormatPr defaultColWidth="9" defaultRowHeight="20.1" customHeight="1" outlineLevelCol="5"/>
  <cols>
    <col min="1" max="1" width="3.625" style="3" customWidth="1"/>
    <col min="2" max="2" width="3.625" style="3" hidden="1" customWidth="1"/>
    <col min="3" max="3" width="29.375" style="7" customWidth="1"/>
    <col min="4" max="4" width="29.375" style="3" customWidth="1"/>
    <col min="5" max="6" width="15.5" style="3" customWidth="1"/>
    <col min="7" max="16384" width="9" style="3"/>
  </cols>
  <sheetData>
    <row r="1" s="1" customFormat="1" ht="50.1" customHeight="1" spans="3:6">
      <c r="C1" s="3"/>
      <c r="D1" s="3"/>
      <c r="E1" s="3"/>
      <c r="F1" s="3"/>
    </row>
    <row r="2" s="1" customFormat="1" ht="39.95" customHeight="1" spans="3:6">
      <c r="C2" s="4" t="s">
        <v>252</v>
      </c>
      <c r="D2" s="3"/>
      <c r="E2" s="3"/>
      <c r="F2" s="3"/>
    </row>
    <row r="4" s="11" customFormat="1" ht="18" customHeight="1" spans="3:6">
      <c r="C4" s="12" t="s">
        <v>234</v>
      </c>
      <c r="D4" s="12">
        <v>44786</v>
      </c>
    </row>
    <row r="5" s="11" customFormat="1" ht="18" customHeight="1" spans="3:6">
      <c r="C5" s="13"/>
      <c r="D5" s="13"/>
    </row>
    <row r="6" s="11" customFormat="1" ht="18" customHeight="1" spans="3:6">
      <c r="C6" s="12" t="s">
        <v>235</v>
      </c>
      <c r="D6" s="14" t="s">
        <v>253</v>
      </c>
    </row>
    <row r="7" s="11" customFormat="1" ht="18" customHeight="1" spans="3:6">
      <c r="C7" s="13"/>
      <c r="D7" s="15"/>
    </row>
    <row r="8" s="11" customFormat="1" ht="18" customHeight="1" spans="3:6">
      <c r="C8" s="12" t="s">
        <v>236</v>
      </c>
      <c r="D8" s="14">
        <v>1000</v>
      </c>
    </row>
    <row r="9" s="11" customFormat="1" ht="18" customHeight="1" spans="3:6">
      <c r="C9" s="13"/>
      <c r="D9" s="15"/>
    </row>
    <row r="10" s="11" customFormat="1" ht="18" customHeight="1" spans="3:6">
      <c r="C10" s="12" t="s">
        <v>237</v>
      </c>
      <c r="D10" s="14">
        <v>2600</v>
      </c>
    </row>
    <row r="11" s="11" customFormat="1" ht="18" customHeight="1" spans="3:6">
      <c r="C11" s="13"/>
      <c r="D11" s="15"/>
    </row>
    <row r="12" s="11" customFormat="1" ht="18" customHeight="1" spans="3:6">
      <c r="C12" s="12" t="s">
        <v>87</v>
      </c>
      <c r="D12" s="14" t="s">
        <v>99</v>
      </c>
    </row>
    <row r="13" s="11" customFormat="1" ht="18" customHeight="1" spans="3:6">
      <c r="C13" s="13"/>
      <c r="D13" s="15"/>
    </row>
    <row r="14" s="11" customFormat="1" ht="18" customHeight="1" spans="3:6">
      <c r="C14" s="12" t="s">
        <v>238</v>
      </c>
      <c r="D14" s="14" t="s">
        <v>243</v>
      </c>
    </row>
    <row r="15" s="11" customFormat="1" ht="18" customHeight="1" spans="3:6">
      <c r="C15" s="13"/>
      <c r="D15" s="15"/>
    </row>
    <row r="16" s="11" customFormat="1" ht="18" customHeight="1" spans="3:6">
      <c r="C16" s="12" t="s">
        <v>239</v>
      </c>
      <c r="D16" s="14"/>
    </row>
    <row r="17" ht="18" customHeight="1" spans="3:4">
      <c r="C17" s="13"/>
      <c r="D17" s="15"/>
    </row>
  </sheetData>
  <mergeCells count="14">
    <mergeCell ref="C4:C5"/>
    <mergeCell ref="C6:C7"/>
    <mergeCell ref="C8:C9"/>
    <mergeCell ref="C10:C11"/>
    <mergeCell ref="C12:C13"/>
    <mergeCell ref="C14:C15"/>
    <mergeCell ref="C16:C17"/>
    <mergeCell ref="D4:D5"/>
    <mergeCell ref="D6:D7"/>
    <mergeCell ref="D8:D9"/>
    <mergeCell ref="D10:D11"/>
    <mergeCell ref="D12:D13"/>
    <mergeCell ref="D14:D15"/>
    <mergeCell ref="D16:D17"/>
  </mergeCells>
  <dataValidations count="1">
    <dataValidation allowBlank="1" showInputMessage="1" showErrorMessage="1" sqref="$A3:$XFD1048576"/>
  </dataValidation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H19"/>
  <sheetViews>
    <sheetView showGridLines="0" workbookViewId="0">
      <selection activeCell="F9" sqref="F9"/>
    </sheetView>
  </sheetViews>
  <sheetFormatPr defaultColWidth="9" defaultRowHeight="20.1" customHeight="1" outlineLevelCol="7"/>
  <cols>
    <col min="1" max="1" width="3.625" style="3" customWidth="1"/>
    <col min="2" max="2" width="3.625" style="3" hidden="1" customWidth="1"/>
    <col min="3" max="3" width="18" style="7" customWidth="1"/>
    <col min="4" max="8" width="18" style="3" customWidth="1"/>
    <col min="9" max="16384" width="9" style="3"/>
  </cols>
  <sheetData>
    <row r="1" s="1" customFormat="1" ht="50.1" customHeight="1" spans="2:8">
      <c r="C1" s="3"/>
      <c r="D1" s="3"/>
      <c r="E1" s="3"/>
      <c r="F1" s="3"/>
      <c r="G1" s="3"/>
      <c r="H1" s="3"/>
    </row>
    <row r="2" s="1" customFormat="1" ht="39.95" customHeight="1" spans="2:8">
      <c r="C2" s="4" t="s">
        <v>254</v>
      </c>
      <c r="D2" s="3"/>
      <c r="E2" s="3"/>
      <c r="F2" s="3"/>
      <c r="G2" s="3"/>
      <c r="H2" s="3"/>
    </row>
    <row r="3" s="2" customFormat="1" ht="30" customHeight="1" spans="2:8">
      <c r="C3" s="5" t="s">
        <v>234</v>
      </c>
      <c r="D3" s="5" t="s">
        <v>235</v>
      </c>
      <c r="E3" s="5" t="s">
        <v>138</v>
      </c>
      <c r="F3" s="5" t="s">
        <v>255</v>
      </c>
      <c r="G3" s="5" t="s">
        <v>85</v>
      </c>
      <c r="H3" s="5" t="s">
        <v>256</v>
      </c>
    </row>
    <row r="4" customHeight="1" spans="2:8">
      <c r="B4" s="3">
        <v>13</v>
      </c>
      <c r="C4" s="7">
        <v>44317</v>
      </c>
      <c r="D4" s="3" t="s">
        <v>240</v>
      </c>
      <c r="E4" s="3" t="s">
        <v>90</v>
      </c>
      <c r="F4" s="3">
        <v>22</v>
      </c>
      <c r="G4" s="3" t="s">
        <v>114</v>
      </c>
      <c r="H4" s="3">
        <v>10</v>
      </c>
    </row>
    <row r="5" customHeight="1" spans="2:8">
      <c r="B5" s="3">
        <v>14</v>
      </c>
      <c r="C5" s="7">
        <v>44287</v>
      </c>
      <c r="D5" s="3" t="s">
        <v>160</v>
      </c>
      <c r="E5" s="3" t="s">
        <v>90</v>
      </c>
      <c r="F5" s="3">
        <v>45</v>
      </c>
      <c r="G5" s="3" t="s">
        <v>97</v>
      </c>
      <c r="H5" s="3">
        <v>45</v>
      </c>
    </row>
    <row r="6" customHeight="1" spans="2:8">
      <c r="B6" s="3">
        <v>37</v>
      </c>
      <c r="C6" s="7">
        <v>44671</v>
      </c>
      <c r="D6" s="3" t="s">
        <v>156</v>
      </c>
      <c r="E6" s="3" t="s">
        <v>90</v>
      </c>
      <c r="F6" s="3">
        <v>4</v>
      </c>
      <c r="G6" s="3" t="s">
        <v>114</v>
      </c>
      <c r="H6" s="3">
        <v>50</v>
      </c>
    </row>
    <row r="7" customHeight="1" spans="2:8">
      <c r="B7" s="3">
        <v>38</v>
      </c>
      <c r="C7" s="7">
        <v>44671</v>
      </c>
      <c r="D7" s="3" t="s">
        <v>163</v>
      </c>
      <c r="E7" s="3" t="s">
        <v>257</v>
      </c>
      <c r="F7" s="3">
        <v>8</v>
      </c>
      <c r="G7" s="3" t="s">
        <v>97</v>
      </c>
      <c r="H7" s="3">
        <v>90</v>
      </c>
    </row>
    <row r="8" customHeight="1" spans="2:8">
      <c r="B8" s="3">
        <v>47</v>
      </c>
      <c r="C8" s="7">
        <v>44869</v>
      </c>
      <c r="D8" s="3" t="s">
        <v>146</v>
      </c>
      <c r="E8" s="3" t="s">
        <v>113</v>
      </c>
      <c r="F8" s="3">
        <v>1</v>
      </c>
      <c r="G8" s="3" t="s">
        <v>57</v>
      </c>
      <c r="H8" s="3">
        <v>10</v>
      </c>
    </row>
    <row r="9" customHeight="1" spans="2:8">
      <c r="B9" s="3">
        <v>60</v>
      </c>
      <c r="C9" s="7">
        <v>45001</v>
      </c>
      <c r="D9" s="3" t="s">
        <v>167</v>
      </c>
      <c r="E9" s="3" t="s">
        <v>107</v>
      </c>
      <c r="F9" s="3">
        <v>11</v>
      </c>
      <c r="G9" s="3" t="s">
        <v>97</v>
      </c>
      <c r="H9" s="3">
        <v>222</v>
      </c>
    </row>
    <row r="10" customHeight="1" spans="2:8">
      <c r="B10" s="3">
        <v>61</v>
      </c>
      <c r="C10" s="7">
        <v>45002</v>
      </c>
      <c r="D10" s="3" t="s">
        <v>170</v>
      </c>
      <c r="E10" s="3" t="s">
        <v>107</v>
      </c>
      <c r="F10" s="3">
        <v>33</v>
      </c>
      <c r="G10" s="3" t="s">
        <v>97</v>
      </c>
      <c r="H10" s="3">
        <v>32</v>
      </c>
    </row>
    <row r="11" customHeight="1" spans="2:8">
      <c r="B11" s="3">
        <v>64</v>
      </c>
      <c r="C11" s="7">
        <v>45017</v>
      </c>
      <c r="D11" s="3" t="s">
        <v>173</v>
      </c>
      <c r="E11" s="3" t="s">
        <v>113</v>
      </c>
      <c r="F11" s="3">
        <v>10</v>
      </c>
      <c r="G11" s="3" t="s">
        <v>108</v>
      </c>
      <c r="H11" s="3">
        <v>20</v>
      </c>
    </row>
    <row r="12" customHeight="1" spans="2:8">
      <c r="B12" s="3">
        <v>65</v>
      </c>
      <c r="C12" s="7">
        <v>45022</v>
      </c>
      <c r="D12" s="3" t="s">
        <v>176</v>
      </c>
      <c r="E12" s="3" t="s">
        <v>102</v>
      </c>
      <c r="F12" s="3">
        <v>20</v>
      </c>
      <c r="G12" s="3" t="s">
        <v>57</v>
      </c>
      <c r="H12" s="3">
        <v>23</v>
      </c>
    </row>
    <row r="13" customHeight="1" spans="2:8">
      <c r="B13" s="3">
        <v>66</v>
      </c>
      <c r="C13" s="7">
        <v>45027</v>
      </c>
      <c r="D13" s="3" t="s">
        <v>178</v>
      </c>
      <c r="E13" s="3" t="s">
        <v>96</v>
      </c>
      <c r="F13" s="3">
        <v>30</v>
      </c>
      <c r="G13" s="3" t="s">
        <v>114</v>
      </c>
      <c r="H13" s="3">
        <v>25</v>
      </c>
    </row>
    <row r="14" customHeight="1" spans="2:8">
      <c r="B14" s="3">
        <v>70</v>
      </c>
      <c r="C14" s="7">
        <v>45086</v>
      </c>
      <c r="D14" s="3" t="s">
        <v>258</v>
      </c>
      <c r="E14" s="3" t="s">
        <v>102</v>
      </c>
      <c r="F14" s="3">
        <v>50</v>
      </c>
      <c r="G14" s="3" t="s">
        <v>114</v>
      </c>
      <c r="H14" s="3">
        <v>30</v>
      </c>
    </row>
    <row r="15" customHeight="1" spans="2:8">
      <c r="B15" s="3">
        <v>72</v>
      </c>
      <c r="C15" s="7">
        <v>45194</v>
      </c>
      <c r="D15" s="3" t="s">
        <v>176</v>
      </c>
      <c r="E15" s="3" t="s">
        <v>90</v>
      </c>
      <c r="F15" s="3">
        <v>15</v>
      </c>
      <c r="G15" s="3" t="s">
        <v>91</v>
      </c>
      <c r="H15" s="3">
        <v>600</v>
      </c>
    </row>
    <row r="16" customHeight="1" spans="2:8">
      <c r="B16" s="3">
        <v>73</v>
      </c>
      <c r="C16" s="7">
        <v>45195</v>
      </c>
      <c r="D16" s="3" t="s">
        <v>176</v>
      </c>
      <c r="E16" s="3" t="s">
        <v>90</v>
      </c>
      <c r="F16" s="3">
        <v>12</v>
      </c>
      <c r="G16" s="3" t="s">
        <v>91</v>
      </c>
      <c r="H16" s="3">
        <v>500</v>
      </c>
    </row>
    <row r="17" customHeight="1" spans="2:8">
      <c r="B17" s="3">
        <v>74</v>
      </c>
      <c r="C17" s="7">
        <v>45195</v>
      </c>
      <c r="D17" s="3" t="s">
        <v>180</v>
      </c>
      <c r="E17" s="3" t="s">
        <v>90</v>
      </c>
      <c r="F17" s="3">
        <v>5</v>
      </c>
      <c r="G17" s="3" t="s">
        <v>91</v>
      </c>
      <c r="H17" s="3">
        <v>100</v>
      </c>
    </row>
    <row r="18" customHeight="1" spans="2:8">
      <c r="B18" s="3">
        <v>77</v>
      </c>
      <c r="C18" s="7">
        <v>45660</v>
      </c>
      <c r="D18" s="3" t="s">
        <v>259</v>
      </c>
      <c r="E18" s="3" t="s">
        <v>124</v>
      </c>
      <c r="F18" s="3">
        <v>20</v>
      </c>
      <c r="G18" s="3" t="s">
        <v>260</v>
      </c>
      <c r="H18" s="3">
        <v>10</v>
      </c>
    </row>
    <row r="19" customHeight="1" spans="2:8">
      <c r="B19" s="3">
        <v>78</v>
      </c>
      <c r="C19" s="7">
        <v>45663</v>
      </c>
      <c r="D19" s="3" t="s">
        <v>261</v>
      </c>
      <c r="E19" s="3" t="s">
        <v>128</v>
      </c>
      <c r="F19" s="3">
        <v>33</v>
      </c>
      <c r="G19" s="3" t="s">
        <v>129</v>
      </c>
      <c r="H19" s="3">
        <v>11</v>
      </c>
    </row>
  </sheetData>
  <conditionalFormatting sqref="F4:F1048576">
    <cfRule type="expression" dxfId="0" priority="4">
      <formula>MOD(ROW(),2)=1</formula>
    </cfRule>
  </conditionalFormatting>
  <conditionalFormatting sqref="G4:G1048576">
    <cfRule type="expression" dxfId="0" priority="3">
      <formula>MOD(ROW(),2)=1</formula>
    </cfRule>
  </conditionalFormatting>
  <conditionalFormatting sqref="H4:H1048576">
    <cfRule type="expression" dxfId="0" priority="2">
      <formula>MOD(ROW(),2)=1</formula>
    </cfRule>
  </conditionalFormatting>
  <conditionalFormatting sqref="C4:E1048576">
    <cfRule type="expression" dxfId="0" priority="5">
      <formula>MOD(ROW(),2)=1</formula>
    </cfRule>
  </conditionalFormatting>
  <dataValidations count="3">
    <dataValidation type="list" allowBlank="1" showInputMessage="1" showErrorMessage="1" sqref="E4:E1048576">
      <formula1>设置!$C$4:$C$65536</formula1>
    </dataValidation>
    <dataValidation allowBlank="1" showInputMessage="1" showErrorMessage="1" sqref="F4:F1048576 A4:D1048576 H4:XFD1048576"/>
    <dataValidation type="list" allowBlank="1" showInputMessage="1" showErrorMessage="1" sqref="G4:G1048576">
      <formula1>设置!$D$4:$D$65536</formula1>
    </dataValidation>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M11"/>
  <sheetViews>
    <sheetView showGridLines="0" workbookViewId="0">
      <selection activeCell="F7" sqref="F7"/>
    </sheetView>
  </sheetViews>
  <sheetFormatPr defaultColWidth="9" defaultRowHeight="20.1" customHeight="1"/>
  <cols>
    <col min="1" max="1" width="3.625" style="3" customWidth="1"/>
    <col min="2" max="2" width="3.625" style="3" hidden="1" customWidth="1"/>
    <col min="3" max="3" width="17.125" style="7" customWidth="1"/>
    <col min="4" max="10" width="17.125" style="3" customWidth="1"/>
    <col min="11" max="11" width="3.625" style="3" customWidth="1"/>
    <col min="12" max="13" width="15.75" style="3" customWidth="1"/>
    <col min="14" max="16384" width="9" style="3"/>
  </cols>
  <sheetData>
    <row r="1" s="1" customFormat="1" ht="50.1" customHeight="1" spans="2:13">
      <c r="C1" s="3"/>
      <c r="D1" s="3"/>
      <c r="E1" s="3"/>
      <c r="F1" s="3"/>
      <c r="G1" s="3"/>
      <c r="H1" s="3"/>
      <c r="I1" s="3"/>
      <c r="J1" s="3"/>
    </row>
    <row r="2" s="1" customFormat="1" ht="39.95" customHeight="1" spans="2:13">
      <c r="C2" s="4" t="s">
        <v>262</v>
      </c>
      <c r="D2" s="3"/>
      <c r="E2" s="3"/>
      <c r="F2" s="3"/>
      <c r="G2" s="3"/>
      <c r="H2" s="3"/>
      <c r="I2" s="3"/>
      <c r="J2" s="3"/>
    </row>
    <row r="3" s="1" customFormat="1" ht="24.95" customHeight="1" spans="2:13">
      <c r="C3" s="8" t="s">
        <v>234</v>
      </c>
      <c r="D3" s="8" t="s">
        <v>263</v>
      </c>
      <c r="E3" s="8"/>
      <c r="F3" s="8"/>
      <c r="G3" s="8" t="s">
        <v>264</v>
      </c>
      <c r="H3" s="8"/>
      <c r="I3" s="8"/>
      <c r="J3" s="8" t="s">
        <v>265</v>
      </c>
    </row>
    <row r="4" s="2" customFormat="1" ht="24.95" customHeight="1" spans="2:13">
      <c r="C4" s="8"/>
      <c r="D4" s="8" t="s">
        <v>266</v>
      </c>
      <c r="E4" s="8" t="s">
        <v>267</v>
      </c>
      <c r="F4" s="8" t="s">
        <v>239</v>
      </c>
      <c r="G4" s="8" t="s">
        <v>266</v>
      </c>
      <c r="H4" s="8" t="s">
        <v>267</v>
      </c>
      <c r="I4" s="8" t="s">
        <v>239</v>
      </c>
      <c r="J4" s="8"/>
    </row>
    <row r="5" customHeight="1" spans="2:13">
      <c r="B5" s="3">
        <v>42</v>
      </c>
      <c r="C5" s="7">
        <v>45021</v>
      </c>
      <c r="D5" s="3">
        <v>20000</v>
      </c>
      <c r="E5" s="3" t="s">
        <v>117</v>
      </c>
      <c r="F5" s="3" t="s">
        <v>268</v>
      </c>
      <c r="G5" s="3">
        <v>1000</v>
      </c>
      <c r="H5" s="3" t="s">
        <v>269</v>
      </c>
      <c r="I5" s="3" t="s">
        <v>104</v>
      </c>
      <c r="J5" s="3" t="s">
        <v>91</v>
      </c>
      <c r="L5" s="9" t="s">
        <v>270</v>
      </c>
      <c r="M5" s="10">
        <v>0</v>
      </c>
    </row>
    <row r="6" customHeight="1" spans="2:13">
      <c r="B6" s="3">
        <v>43</v>
      </c>
      <c r="C6" s="7">
        <v>44826</v>
      </c>
      <c r="D6" s="3">
        <v>6000</v>
      </c>
      <c r="E6" s="3" t="s">
        <v>133</v>
      </c>
      <c r="F6" s="3" t="s">
        <v>271</v>
      </c>
      <c r="G6" s="3">
        <v>1000</v>
      </c>
      <c r="H6" s="3" t="s">
        <v>272</v>
      </c>
      <c r="I6" s="3" t="s">
        <v>272</v>
      </c>
      <c r="J6" s="3" t="s">
        <v>108</v>
      </c>
      <c r="L6" s="9" t="s">
        <v>273</v>
      </c>
      <c r="M6" s="10">
        <v>2000</v>
      </c>
    </row>
    <row r="7" customHeight="1" spans="2:13">
      <c r="B7" s="3">
        <v>44</v>
      </c>
      <c r="C7" s="7">
        <v>44274</v>
      </c>
      <c r="D7" s="3">
        <v>4500</v>
      </c>
      <c r="E7" s="3" t="s">
        <v>274</v>
      </c>
      <c r="F7" s="3" t="s">
        <v>268</v>
      </c>
      <c r="G7" s="3">
        <v>400</v>
      </c>
      <c r="H7" s="3" t="s">
        <v>275</v>
      </c>
      <c r="I7" s="3" t="s">
        <v>276</v>
      </c>
      <c r="J7" s="3" t="s">
        <v>57</v>
      </c>
      <c r="L7" s="9" t="s">
        <v>277</v>
      </c>
      <c r="M7" s="10">
        <v>45502</v>
      </c>
    </row>
    <row r="8" customHeight="1" spans="2:13">
      <c r="B8" s="3">
        <v>45</v>
      </c>
      <c r="C8" s="7">
        <v>45017</v>
      </c>
      <c r="D8" s="3">
        <v>2000</v>
      </c>
      <c r="E8" s="3" t="s">
        <v>117</v>
      </c>
      <c r="F8" s="3" t="s">
        <v>268</v>
      </c>
      <c r="G8" s="3">
        <v>1000</v>
      </c>
      <c r="H8" s="3" t="s">
        <v>278</v>
      </c>
      <c r="I8" s="3" t="s">
        <v>278</v>
      </c>
      <c r="J8" s="3" t="s">
        <v>91</v>
      </c>
      <c r="L8" s="9" t="s">
        <v>279</v>
      </c>
      <c r="M8" s="10">
        <v>6302</v>
      </c>
    </row>
    <row r="9" customHeight="1" spans="2:13">
      <c r="B9" s="3">
        <v>57</v>
      </c>
      <c r="C9" s="7">
        <v>45023</v>
      </c>
      <c r="D9" s="3">
        <v>10000</v>
      </c>
      <c r="E9" s="3" t="s">
        <v>280</v>
      </c>
      <c r="F9" s="3" t="s">
        <v>268</v>
      </c>
      <c r="G9" s="3">
        <v>1900</v>
      </c>
      <c r="H9" s="3" t="s">
        <v>278</v>
      </c>
      <c r="I9" s="3" t="s">
        <v>278</v>
      </c>
      <c r="J9" s="3" t="s">
        <v>120</v>
      </c>
      <c r="L9" s="9" t="s">
        <v>117</v>
      </c>
      <c r="M9" s="10">
        <v>6000</v>
      </c>
    </row>
    <row r="10" customHeight="1" spans="2:13">
      <c r="B10" s="3">
        <v>73</v>
      </c>
      <c r="C10" s="7">
        <v>45660</v>
      </c>
      <c r="D10" s="3">
        <v>3000</v>
      </c>
      <c r="E10" s="3" t="s">
        <v>100</v>
      </c>
      <c r="F10" s="3" t="s">
        <v>133</v>
      </c>
      <c r="G10" s="3">
        <v>1000</v>
      </c>
      <c r="H10" s="3" t="s">
        <v>111</v>
      </c>
      <c r="I10" s="3" t="s">
        <v>281</v>
      </c>
      <c r="J10" s="3" t="s">
        <v>260</v>
      </c>
      <c r="L10" s="9" t="s">
        <v>282</v>
      </c>
      <c r="M10" s="10">
        <v>39200</v>
      </c>
    </row>
    <row r="11" customHeight="1" spans="2:13">
      <c r="B11" s="3">
        <v>77</v>
      </c>
      <c r="C11" s="7">
        <v>45665</v>
      </c>
      <c r="D11" s="3">
        <v>2</v>
      </c>
      <c r="E11" s="3" t="s">
        <v>130</v>
      </c>
      <c r="F11" s="3" t="s">
        <v>283</v>
      </c>
      <c r="G11" s="3">
        <v>2</v>
      </c>
      <c r="H11" s="3" t="s">
        <v>269</v>
      </c>
      <c r="I11" s="3" t="s">
        <v>284</v>
      </c>
      <c r="J11" s="3">
        <v>2</v>
      </c>
    </row>
  </sheetData>
  <mergeCells count="4">
    <mergeCell ref="D3:F3"/>
    <mergeCell ref="G3:I3"/>
    <mergeCell ref="C3:C4"/>
    <mergeCell ref="J3:J4"/>
  </mergeCells>
  <conditionalFormatting sqref="C5:J1048576">
    <cfRule type="expression" dxfId="0" priority="1">
      <formula>MOD(ROW(),2)=0</formula>
    </cfRule>
  </conditionalFormatting>
  <dataValidations count="4">
    <dataValidation type="list" allowBlank="1" showInputMessage="1" showErrorMessage="1" sqref="E5:E1048576">
      <formula1>设置!$G$4:$G$65536</formula1>
    </dataValidation>
    <dataValidation type="list" allowBlank="1" showInputMessage="1" showErrorMessage="1" sqref="H5:H1048576">
      <formula1>设置!$H$4:$H$65536</formula1>
    </dataValidation>
    <dataValidation allowBlank="1" showInputMessage="1" showErrorMessage="1" sqref="I5:I1048576 A5:D1048576 F5:G1048576 K5:XFD1048576"/>
    <dataValidation type="list" allowBlank="1" showInputMessage="1" showErrorMessage="1" sqref="J5:J1048576">
      <formula1>设置!$D$4:$D$65536</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J20"/>
  <sheetViews>
    <sheetView showGridLines="0" workbookViewId="0">
      <selection activeCell="C1" sqref="C1"/>
    </sheetView>
  </sheetViews>
  <sheetFormatPr defaultColWidth="9" defaultRowHeight="20.1" customHeight="1"/>
  <cols>
    <col min="1" max="1" width="3.625" style="3" customWidth="1"/>
    <col min="2" max="2" width="3.625" style="3" hidden="1" customWidth="1"/>
    <col min="3" max="4" width="18" style="3" customWidth="1"/>
    <col min="5" max="5" width="18" style="7" customWidth="1"/>
    <col min="6" max="10" width="18" style="3" customWidth="1"/>
    <col min="11" max="16384" width="9" style="3"/>
  </cols>
  <sheetData>
    <row r="1" s="1" customFormat="1" ht="50.1" customHeight="1" spans="2:10">
      <c r="C1" s="3"/>
      <c r="D1" s="3"/>
      <c r="E1" s="3"/>
      <c r="F1" s="3"/>
      <c r="G1" s="3"/>
      <c r="H1" s="3"/>
      <c r="I1" s="3"/>
      <c r="J1" s="3"/>
    </row>
    <row r="2" s="1" customFormat="1" ht="39.95" customHeight="1" spans="2:10">
      <c r="C2" s="4" t="s">
        <v>285</v>
      </c>
      <c r="D2" s="3"/>
      <c r="E2" s="3"/>
      <c r="F2" s="3"/>
      <c r="G2" s="3"/>
      <c r="H2" s="3"/>
      <c r="I2" s="3"/>
      <c r="J2" s="3"/>
    </row>
    <row r="3" s="2" customFormat="1" ht="30" customHeight="1" spans="2:10">
      <c r="C3" s="5" t="s">
        <v>235</v>
      </c>
      <c r="D3" s="5" t="s">
        <v>286</v>
      </c>
      <c r="E3" s="5" t="s">
        <v>287</v>
      </c>
      <c r="F3" s="5" t="s">
        <v>138</v>
      </c>
      <c r="G3" s="5" t="s">
        <v>85</v>
      </c>
      <c r="H3" s="5" t="s">
        <v>139</v>
      </c>
      <c r="I3" s="5" t="s">
        <v>50</v>
      </c>
      <c r="J3" s="5" t="s">
        <v>143</v>
      </c>
    </row>
    <row r="4" customHeight="1" spans="2:10">
      <c r="B4" s="3">
        <v>16</v>
      </c>
      <c r="C4" s="3" t="s">
        <v>150</v>
      </c>
      <c r="D4" s="3">
        <v>5500</v>
      </c>
      <c r="E4" s="7">
        <v>43606</v>
      </c>
      <c r="F4" s="3" t="s">
        <v>151</v>
      </c>
      <c r="G4" s="3" t="s">
        <v>152</v>
      </c>
      <c r="H4" s="3" t="s">
        <v>153</v>
      </c>
      <c r="I4" s="3">
        <v>13225112512</v>
      </c>
      <c r="J4" s="3">
        <v>30</v>
      </c>
    </row>
    <row r="5" customHeight="1" spans="2:10">
      <c r="B5" s="3">
        <v>47</v>
      </c>
      <c r="C5" s="3" t="s">
        <v>288</v>
      </c>
      <c r="D5" s="3">
        <v>4000</v>
      </c>
      <c r="E5" s="7">
        <v>44421</v>
      </c>
      <c r="F5" s="3" t="s">
        <v>289</v>
      </c>
      <c r="G5" s="3" t="s">
        <v>290</v>
      </c>
      <c r="H5" s="3">
        <v>1</v>
      </c>
      <c r="I5" s="3">
        <v>15114673425</v>
      </c>
      <c r="J5" s="3">
        <v>60</v>
      </c>
    </row>
    <row r="6" customHeight="1" spans="2:10">
      <c r="B6" s="3">
        <v>48</v>
      </c>
      <c r="C6" s="3" t="s">
        <v>291</v>
      </c>
      <c r="D6" s="3">
        <v>5000</v>
      </c>
      <c r="E6" s="7">
        <v>44413</v>
      </c>
      <c r="F6" s="3" t="s">
        <v>292</v>
      </c>
      <c r="G6" s="3" t="s">
        <v>293</v>
      </c>
      <c r="H6" s="3">
        <v>2</v>
      </c>
      <c r="I6" s="3">
        <v>15057684123</v>
      </c>
      <c r="J6" s="3">
        <v>50</v>
      </c>
    </row>
    <row r="7" customHeight="1" spans="2:10">
      <c r="B7" s="3">
        <v>53</v>
      </c>
      <c r="C7" s="3" t="s">
        <v>163</v>
      </c>
      <c r="D7" s="3">
        <v>300</v>
      </c>
      <c r="E7" s="7">
        <v>44451</v>
      </c>
      <c r="F7" s="3" t="s">
        <v>90</v>
      </c>
      <c r="G7" s="3" t="s">
        <v>152</v>
      </c>
      <c r="H7" s="3">
        <v>11</v>
      </c>
      <c r="I7" s="3">
        <v>131245125345</v>
      </c>
      <c r="J7" s="3">
        <v>50</v>
      </c>
    </row>
    <row r="8" customHeight="1" spans="2:10">
      <c r="B8" s="3">
        <v>85</v>
      </c>
      <c r="C8" s="3" t="s">
        <v>170</v>
      </c>
      <c r="D8" s="3">
        <v>300</v>
      </c>
      <c r="E8" s="7">
        <v>45029</v>
      </c>
      <c r="F8" s="3" t="s">
        <v>107</v>
      </c>
      <c r="G8" s="3" t="s">
        <v>114</v>
      </c>
      <c r="H8" s="3" t="s">
        <v>171</v>
      </c>
      <c r="I8" s="3">
        <v>15123847293</v>
      </c>
      <c r="J8" s="3">
        <v>0</v>
      </c>
    </row>
    <row r="9" customHeight="1" spans="2:10">
      <c r="B9" s="3">
        <v>86</v>
      </c>
      <c r="C9" s="3" t="s">
        <v>173</v>
      </c>
      <c r="D9" s="3">
        <v>4100</v>
      </c>
      <c r="E9" s="7">
        <v>45024</v>
      </c>
      <c r="F9" s="3" t="s">
        <v>113</v>
      </c>
      <c r="G9" s="3" t="s">
        <v>97</v>
      </c>
      <c r="H9" s="3" t="s">
        <v>174</v>
      </c>
      <c r="I9" s="3">
        <v>15385769486</v>
      </c>
      <c r="J9" s="3">
        <v>90</v>
      </c>
    </row>
    <row r="10" customHeight="1" spans="2:10">
      <c r="B10" s="3">
        <v>87</v>
      </c>
      <c r="C10" s="3" t="s">
        <v>176</v>
      </c>
      <c r="D10" s="3">
        <v>13700</v>
      </c>
      <c r="E10" s="7">
        <v>45027</v>
      </c>
      <c r="F10" s="3" t="s">
        <v>96</v>
      </c>
      <c r="G10" s="3" t="s">
        <v>108</v>
      </c>
      <c r="H10" s="3" t="s">
        <v>165</v>
      </c>
      <c r="I10" s="3">
        <v>15475938403</v>
      </c>
      <c r="J10" s="3">
        <v>100</v>
      </c>
    </row>
    <row r="11" customHeight="1" spans="2:10">
      <c r="B11" s="3">
        <v>88</v>
      </c>
      <c r="C11" s="3" t="s">
        <v>178</v>
      </c>
      <c r="D11" s="3">
        <v>1000</v>
      </c>
      <c r="E11" s="7">
        <v>45030</v>
      </c>
      <c r="F11" s="3" t="s">
        <v>102</v>
      </c>
      <c r="G11" s="3" t="s">
        <v>97</v>
      </c>
      <c r="H11" s="3" t="s">
        <v>171</v>
      </c>
      <c r="I11" s="3">
        <v>15375493844</v>
      </c>
      <c r="J11" s="3">
        <v>50</v>
      </c>
    </row>
    <row r="12" customHeight="1" spans="2:10">
      <c r="B12" s="3">
        <v>91</v>
      </c>
      <c r="C12" s="3" t="s">
        <v>180</v>
      </c>
      <c r="D12" s="3">
        <v>1800</v>
      </c>
      <c r="E12" s="7">
        <v>45194</v>
      </c>
      <c r="F12" s="3" t="s">
        <v>90</v>
      </c>
      <c r="G12" s="3" t="s">
        <v>91</v>
      </c>
      <c r="H12" s="3" t="s">
        <v>181</v>
      </c>
      <c r="I12" s="3">
        <v>18888888888</v>
      </c>
      <c r="J12" s="3">
        <v>-5</v>
      </c>
    </row>
    <row r="13" customHeight="1" spans="2:10">
      <c r="B13" s="3">
        <v>94</v>
      </c>
      <c r="C13" s="3" t="s">
        <v>294</v>
      </c>
      <c r="D13" s="3">
        <v>1000</v>
      </c>
      <c r="E13" s="7">
        <v>45207</v>
      </c>
      <c r="F13" s="3" t="s">
        <v>90</v>
      </c>
      <c r="G13" s="3" t="s">
        <v>91</v>
      </c>
      <c r="H13" s="3">
        <v>2</v>
      </c>
      <c r="I13" s="3">
        <v>12777838950</v>
      </c>
      <c r="J13" s="3">
        <v>10</v>
      </c>
    </row>
    <row r="14" customHeight="1" spans="2:10">
      <c r="B14" s="3">
        <v>99</v>
      </c>
      <c r="C14" s="3" t="s">
        <v>183</v>
      </c>
      <c r="D14" s="3">
        <v>2000</v>
      </c>
      <c r="E14" s="7">
        <v>45660</v>
      </c>
      <c r="F14" s="3" t="s">
        <v>90</v>
      </c>
      <c r="G14" s="3" t="s">
        <v>91</v>
      </c>
      <c r="H14" s="3" t="s">
        <v>181</v>
      </c>
      <c r="I14" s="3">
        <v>123123333</v>
      </c>
      <c r="J14" s="3">
        <v>50</v>
      </c>
    </row>
    <row r="15" customHeight="1" spans="2:10">
      <c r="B15" s="3">
        <v>102</v>
      </c>
      <c r="C15" s="3" t="s">
        <v>185</v>
      </c>
      <c r="D15" s="3">
        <v>1888</v>
      </c>
      <c r="E15" s="7">
        <v>45660</v>
      </c>
      <c r="F15" s="3" t="s">
        <v>128</v>
      </c>
      <c r="G15" s="3" t="s">
        <v>129</v>
      </c>
      <c r="H15" s="3">
        <v>3</v>
      </c>
      <c r="I15" s="3">
        <v>17777777777</v>
      </c>
      <c r="J15" s="3">
        <v>100</v>
      </c>
    </row>
    <row r="16" customHeight="1" spans="2:10">
      <c r="B16" s="3">
        <v>103</v>
      </c>
      <c r="C16" s="3" t="s">
        <v>187</v>
      </c>
      <c r="D16" s="3">
        <v>2136485</v>
      </c>
      <c r="E16" s="7">
        <v>45660</v>
      </c>
      <c r="F16" s="3" t="s">
        <v>128</v>
      </c>
      <c r="G16" s="3" t="s">
        <v>132</v>
      </c>
      <c r="H16" s="3">
        <v>2364</v>
      </c>
      <c r="I16" s="3">
        <v>144466463764</v>
      </c>
      <c r="J16" s="3">
        <v>2000</v>
      </c>
    </row>
    <row r="17" customHeight="1" spans="2:10">
      <c r="B17" s="3">
        <v>104</v>
      </c>
      <c r="C17" s="3" t="s">
        <v>189</v>
      </c>
      <c r="D17" s="3">
        <v>20000</v>
      </c>
      <c r="E17" s="7">
        <v>45660</v>
      </c>
      <c r="F17" s="3" t="s">
        <v>128</v>
      </c>
      <c r="G17" s="3" t="s">
        <v>125</v>
      </c>
      <c r="H17" s="3">
        <v>1</v>
      </c>
      <c r="I17" s="3">
        <v>188555588855</v>
      </c>
      <c r="J17" s="3">
        <v>2000</v>
      </c>
    </row>
    <row r="18" customHeight="1" spans="2:10">
      <c r="B18" s="3">
        <v>106</v>
      </c>
      <c r="C18" s="3">
        <v>2533</v>
      </c>
      <c r="D18" s="3">
        <v>23</v>
      </c>
      <c r="E18" s="7">
        <v>45660</v>
      </c>
      <c r="F18" s="3" t="s">
        <v>102</v>
      </c>
      <c r="G18" s="3" t="s">
        <v>57</v>
      </c>
      <c r="H18" s="3">
        <v>14</v>
      </c>
      <c r="I18" s="3">
        <v>14455434242</v>
      </c>
      <c r="J18" s="3">
        <v>24</v>
      </c>
    </row>
    <row r="19" customHeight="1" spans="2:10">
      <c r="B19" s="3">
        <v>107</v>
      </c>
      <c r="C19" s="3">
        <v>45</v>
      </c>
      <c r="D19" s="3">
        <v>4664</v>
      </c>
      <c r="E19" s="7">
        <v>45660</v>
      </c>
      <c r="F19" s="3" t="s">
        <v>102</v>
      </c>
      <c r="G19" s="3" t="s">
        <v>57</v>
      </c>
      <c r="H19" s="3">
        <v>46</v>
      </c>
      <c r="I19" s="3">
        <v>1643646446</v>
      </c>
      <c r="J19" s="3">
        <v>46</v>
      </c>
    </row>
    <row r="20" customHeight="1" spans="2:10">
      <c r="B20" s="3">
        <v>109</v>
      </c>
      <c r="C20" s="3">
        <v>12</v>
      </c>
      <c r="D20" s="3">
        <v>12</v>
      </c>
      <c r="E20" s="7">
        <v>45663</v>
      </c>
      <c r="F20" s="3" t="s">
        <v>90</v>
      </c>
      <c r="G20" s="3" t="s">
        <v>91</v>
      </c>
      <c r="H20" s="3">
        <v>12</v>
      </c>
      <c r="I20" s="3">
        <v>12</v>
      </c>
      <c r="J20" s="3">
        <v>12</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H4:H1048576">
    <cfRule type="expression" dxfId="0" priority="3">
      <formula>MOD(ROW(),2)=1</formula>
    </cfRule>
  </conditionalFormatting>
  <conditionalFormatting sqref="I4:I1048576">
    <cfRule type="expression" dxfId="0" priority="2">
      <formula>MOD(ROW(),2)=1</formula>
    </cfRule>
  </conditionalFormatting>
  <conditionalFormatting sqref="J4:J1048576">
    <cfRule type="expression" dxfId="0" priority="1">
      <formula>MOD(ROW(),2)=1</formula>
    </cfRule>
  </conditionalFormatting>
  <conditionalFormatting sqref="C4:E1048576">
    <cfRule type="expression" dxfId="0" priority="6">
      <formula>MOD(ROW(),2)=1</formula>
    </cfRule>
  </conditionalFormatting>
  <dataValidations count="1">
    <dataValidation allowBlank="1" showInputMessage="1" showErrorMessage="1" sqref="$A4:$XFD1048576 C1:H3"/>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G19"/>
  <sheetViews>
    <sheetView showGridLines="0" workbookViewId="0">
      <selection activeCell="E8" sqref="E8"/>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295</v>
      </c>
      <c r="D2" s="3"/>
      <c r="E2" s="3"/>
      <c r="F2" s="3"/>
      <c r="G2" s="3"/>
    </row>
    <row r="3" s="2" customFormat="1" ht="30" customHeight="1" spans="3:7">
      <c r="C3" s="5" t="s">
        <v>194</v>
      </c>
      <c r="D3" s="5" t="s">
        <v>296</v>
      </c>
      <c r="E3" s="5" t="s">
        <v>297</v>
      </c>
      <c r="F3" s="5" t="s">
        <v>298</v>
      </c>
      <c r="G3" s="5" t="s">
        <v>299</v>
      </c>
    </row>
    <row r="4" customHeight="1" spans="3:7">
      <c r="C4" s="3" t="s">
        <v>114</v>
      </c>
      <c r="D4" s="3" t="s">
        <v>90</v>
      </c>
      <c r="E4" s="3">
        <v>22</v>
      </c>
      <c r="F4" s="3">
        <v>10</v>
      </c>
      <c r="G4" s="3">
        <v>220</v>
      </c>
    </row>
    <row r="5" customHeight="1" spans="3:7">
      <c r="C5" s="3" t="s">
        <v>114</v>
      </c>
      <c r="D5" s="3" t="s">
        <v>90</v>
      </c>
      <c r="E5" s="3">
        <v>4</v>
      </c>
      <c r="F5" s="3">
        <v>50</v>
      </c>
      <c r="G5" s="3">
        <v>200</v>
      </c>
    </row>
    <row r="6" customHeight="1" spans="3:7">
      <c r="C6" s="3" t="s">
        <v>114</v>
      </c>
      <c r="D6" s="3" t="s">
        <v>102</v>
      </c>
      <c r="E6" s="3">
        <v>50</v>
      </c>
      <c r="F6" s="3">
        <v>30</v>
      </c>
      <c r="G6" s="3">
        <v>1500</v>
      </c>
    </row>
    <row r="7" customHeight="1" spans="3:7">
      <c r="C7" s="3" t="s">
        <v>114</v>
      </c>
      <c r="D7" s="3" t="s">
        <v>96</v>
      </c>
      <c r="E7" s="3">
        <v>30</v>
      </c>
      <c r="F7" s="3">
        <v>25</v>
      </c>
      <c r="G7" s="3">
        <v>750</v>
      </c>
    </row>
    <row r="8" customHeight="1" spans="3:7">
      <c r="C8" s="3" t="s">
        <v>260</v>
      </c>
      <c r="D8" s="3" t="s">
        <v>124</v>
      </c>
      <c r="E8" s="3">
        <v>20</v>
      </c>
      <c r="F8" s="3">
        <v>10</v>
      </c>
      <c r="G8" s="3">
        <v>200</v>
      </c>
    </row>
    <row r="9" customHeight="1" spans="3:7">
      <c r="C9" s="3" t="s">
        <v>91</v>
      </c>
      <c r="D9" s="3" t="s">
        <v>90</v>
      </c>
      <c r="E9" s="3">
        <v>5</v>
      </c>
      <c r="F9" s="3">
        <v>100</v>
      </c>
      <c r="G9" s="3">
        <v>500</v>
      </c>
    </row>
    <row r="10" customHeight="1" spans="3:7">
      <c r="C10" s="3" t="s">
        <v>91</v>
      </c>
      <c r="D10" s="3" t="s">
        <v>90</v>
      </c>
      <c r="E10" s="3">
        <v>12</v>
      </c>
      <c r="F10" s="3">
        <v>500</v>
      </c>
      <c r="G10" s="3">
        <v>6000</v>
      </c>
    </row>
    <row r="11" customHeight="1" spans="3:7">
      <c r="C11" s="3" t="s">
        <v>91</v>
      </c>
      <c r="D11" s="3" t="s">
        <v>90</v>
      </c>
      <c r="E11" s="3">
        <v>15</v>
      </c>
      <c r="F11" s="3">
        <v>600</v>
      </c>
      <c r="G11" s="3">
        <v>9000</v>
      </c>
    </row>
    <row r="12" customHeight="1" spans="3:7">
      <c r="C12" s="3" t="s">
        <v>97</v>
      </c>
      <c r="D12" s="3" t="s">
        <v>90</v>
      </c>
      <c r="E12" s="3">
        <v>45</v>
      </c>
      <c r="F12" s="3">
        <v>45</v>
      </c>
      <c r="G12" s="3">
        <v>2025</v>
      </c>
    </row>
    <row r="13" customHeight="1" spans="3:7">
      <c r="C13" s="3" t="s">
        <v>97</v>
      </c>
      <c r="D13" s="3" t="s">
        <v>257</v>
      </c>
      <c r="E13" s="3">
        <v>8</v>
      </c>
      <c r="F13" s="3">
        <v>90</v>
      </c>
      <c r="G13" s="3">
        <v>720</v>
      </c>
    </row>
    <row r="14" customHeight="1" spans="3:7">
      <c r="C14" s="3" t="s">
        <v>97</v>
      </c>
      <c r="D14" s="3" t="s">
        <v>107</v>
      </c>
      <c r="E14" s="3">
        <v>33</v>
      </c>
      <c r="F14" s="3">
        <v>32</v>
      </c>
      <c r="G14" s="3">
        <v>1056</v>
      </c>
    </row>
    <row r="15" customHeight="1" spans="3:7">
      <c r="C15" s="3" t="s">
        <v>97</v>
      </c>
      <c r="D15" s="3" t="s">
        <v>107</v>
      </c>
      <c r="E15" s="3">
        <v>11</v>
      </c>
      <c r="F15" s="3">
        <v>222</v>
      </c>
      <c r="G15" s="3">
        <v>2442</v>
      </c>
    </row>
    <row r="16" customHeight="1" spans="3:7">
      <c r="C16" s="3" t="s">
        <v>57</v>
      </c>
      <c r="D16" s="3" t="s">
        <v>113</v>
      </c>
      <c r="E16" s="3">
        <v>1</v>
      </c>
      <c r="F16" s="3">
        <v>10</v>
      </c>
      <c r="G16" s="3">
        <v>10</v>
      </c>
    </row>
    <row r="17" customHeight="1" spans="3:7">
      <c r="C17" s="3" t="s">
        <v>57</v>
      </c>
      <c r="D17" s="3" t="s">
        <v>102</v>
      </c>
      <c r="E17" s="3">
        <v>20</v>
      </c>
      <c r="F17" s="3">
        <v>23</v>
      </c>
      <c r="G17" s="3">
        <v>460</v>
      </c>
    </row>
    <row r="18" customHeight="1" spans="3:7">
      <c r="C18" s="3" t="s">
        <v>108</v>
      </c>
      <c r="D18" s="3" t="s">
        <v>113</v>
      </c>
      <c r="E18" s="3">
        <v>10</v>
      </c>
      <c r="F18" s="3">
        <v>20</v>
      </c>
      <c r="G18" s="3">
        <v>200</v>
      </c>
    </row>
    <row r="19" customHeight="1" spans="3:7">
      <c r="C19" s="3" t="s">
        <v>129</v>
      </c>
      <c r="D19" s="3" t="s">
        <v>128</v>
      </c>
      <c r="E19" s="3">
        <v>33</v>
      </c>
      <c r="F19" s="3">
        <v>11</v>
      </c>
      <c r="G19" s="3">
        <v>363</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C4:E1048576">
    <cfRule type="expression" dxfId="0" priority="6">
      <formula>MOD(ROW(),2)=1</formula>
    </cfRule>
  </conditionalFormatting>
  <dataValidations count="1">
    <dataValidation allowBlank="1" showInputMessage="1" showErrorMessage="1" sqref="$A4:$XFD1048576 C1:G3"/>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G19"/>
  <sheetViews>
    <sheetView showGridLines="0" workbookViewId="0">
      <selection activeCell="C13" sqref="C13:G14"/>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300</v>
      </c>
      <c r="D2" s="3"/>
      <c r="E2" s="3"/>
      <c r="F2" s="3"/>
      <c r="G2" s="3"/>
    </row>
    <row r="3" s="2" customFormat="1" ht="30" customHeight="1" spans="3:7">
      <c r="C3" s="5" t="s">
        <v>194</v>
      </c>
      <c r="D3" s="5" t="s">
        <v>296</v>
      </c>
      <c r="E3" s="5" t="s">
        <v>297</v>
      </c>
      <c r="F3" s="5" t="s">
        <v>298</v>
      </c>
      <c r="G3" s="5" t="s">
        <v>299</v>
      </c>
    </row>
    <row r="4" customHeight="1" spans="3:7">
      <c r="C4" s="3" t="s">
        <v>114</v>
      </c>
      <c r="D4" s="3" t="s">
        <v>90</v>
      </c>
      <c r="E4" s="3">
        <v>22</v>
      </c>
      <c r="F4" s="3">
        <v>10</v>
      </c>
      <c r="G4" s="3">
        <v>220</v>
      </c>
    </row>
    <row r="5" customHeight="1" spans="3:7">
      <c r="C5" s="3" t="s">
        <v>114</v>
      </c>
      <c r="D5" s="3" t="s">
        <v>90</v>
      </c>
      <c r="E5" s="3">
        <v>4</v>
      </c>
      <c r="F5" s="3">
        <v>50</v>
      </c>
      <c r="G5" s="3">
        <v>200</v>
      </c>
    </row>
    <row r="6" customHeight="1" spans="3:7">
      <c r="C6" s="3" t="s">
        <v>114</v>
      </c>
      <c r="D6" s="3" t="s">
        <v>102</v>
      </c>
      <c r="E6" s="3">
        <v>50</v>
      </c>
      <c r="F6" s="3">
        <v>30</v>
      </c>
      <c r="G6" s="3">
        <v>1500</v>
      </c>
    </row>
    <row r="7" customHeight="1" spans="3:7">
      <c r="C7" s="3" t="s">
        <v>114</v>
      </c>
      <c r="D7" s="3" t="s">
        <v>96</v>
      </c>
      <c r="E7" s="3">
        <v>30</v>
      </c>
      <c r="F7" s="3">
        <v>25</v>
      </c>
      <c r="G7" s="3">
        <v>750</v>
      </c>
    </row>
    <row r="8" customHeight="1" spans="3:7">
      <c r="C8" s="3" t="s">
        <v>260</v>
      </c>
      <c r="D8" s="3" t="s">
        <v>124</v>
      </c>
      <c r="E8" s="3">
        <v>20</v>
      </c>
      <c r="F8" s="3">
        <v>10</v>
      </c>
      <c r="G8" s="3">
        <v>200</v>
      </c>
    </row>
    <row r="9" customHeight="1" spans="3:7">
      <c r="C9" s="3" t="s">
        <v>91</v>
      </c>
      <c r="D9" s="3" t="s">
        <v>90</v>
      </c>
      <c r="E9" s="3">
        <v>5</v>
      </c>
      <c r="F9" s="3">
        <v>100</v>
      </c>
      <c r="G9" s="3">
        <v>500</v>
      </c>
    </row>
    <row r="10" customHeight="1" spans="3:7">
      <c r="C10" s="3" t="s">
        <v>91</v>
      </c>
      <c r="D10" s="3" t="s">
        <v>90</v>
      </c>
      <c r="E10" s="3">
        <v>12</v>
      </c>
      <c r="F10" s="3">
        <v>500</v>
      </c>
      <c r="G10" s="3">
        <v>6000</v>
      </c>
    </row>
    <row r="11" customHeight="1" spans="3:7">
      <c r="C11" s="3" t="s">
        <v>91</v>
      </c>
      <c r="D11" s="3" t="s">
        <v>90</v>
      </c>
      <c r="E11" s="3">
        <v>15</v>
      </c>
      <c r="F11" s="3">
        <v>600</v>
      </c>
      <c r="G11" s="3">
        <v>9000</v>
      </c>
    </row>
    <row r="12" customHeight="1" spans="3:7">
      <c r="C12" s="3" t="s">
        <v>97</v>
      </c>
      <c r="D12" s="3" t="s">
        <v>90</v>
      </c>
      <c r="E12" s="3">
        <v>45</v>
      </c>
      <c r="F12" s="3">
        <v>45</v>
      </c>
      <c r="G12" s="3">
        <v>2025</v>
      </c>
    </row>
    <row r="13" customHeight="1" spans="3:7">
      <c r="C13" s="3" t="s">
        <v>97</v>
      </c>
      <c r="D13" s="3" t="s">
        <v>257</v>
      </c>
      <c r="E13" s="3">
        <v>8</v>
      </c>
      <c r="F13" s="3">
        <v>90</v>
      </c>
      <c r="G13" s="3">
        <v>720</v>
      </c>
    </row>
    <row r="14" customHeight="1" spans="3:7">
      <c r="C14" s="3" t="s">
        <v>97</v>
      </c>
      <c r="D14" s="3" t="s">
        <v>107</v>
      </c>
      <c r="E14" s="3">
        <v>33</v>
      </c>
      <c r="F14" s="3">
        <v>32</v>
      </c>
      <c r="G14" s="3">
        <v>1056</v>
      </c>
    </row>
    <row r="15" customHeight="1" spans="3:7">
      <c r="C15" s="3" t="s">
        <v>97</v>
      </c>
      <c r="D15" s="3" t="s">
        <v>107</v>
      </c>
      <c r="E15" s="3">
        <v>11</v>
      </c>
      <c r="F15" s="3">
        <v>222</v>
      </c>
      <c r="G15" s="3">
        <v>2442</v>
      </c>
    </row>
    <row r="16" customHeight="1" spans="3:7">
      <c r="C16" s="3" t="s">
        <v>57</v>
      </c>
      <c r="D16" s="3" t="s">
        <v>113</v>
      </c>
      <c r="E16" s="3">
        <v>1</v>
      </c>
      <c r="F16" s="3">
        <v>10</v>
      </c>
      <c r="G16" s="3">
        <v>10</v>
      </c>
    </row>
    <row r="17" customHeight="1" spans="3:7">
      <c r="C17" s="3" t="s">
        <v>57</v>
      </c>
      <c r="D17" s="3" t="s">
        <v>102</v>
      </c>
      <c r="E17" s="3">
        <v>20</v>
      </c>
      <c r="F17" s="3">
        <v>23</v>
      </c>
      <c r="G17" s="3">
        <v>460</v>
      </c>
    </row>
    <row r="18" customHeight="1" spans="3:7">
      <c r="C18" s="3" t="s">
        <v>108</v>
      </c>
      <c r="D18" s="3" t="s">
        <v>113</v>
      </c>
      <c r="E18" s="3">
        <v>10</v>
      </c>
      <c r="F18" s="3">
        <v>20</v>
      </c>
      <c r="G18" s="3">
        <v>200</v>
      </c>
    </row>
    <row r="19" customHeight="1" spans="3:7">
      <c r="C19" s="3" t="s">
        <v>129</v>
      </c>
      <c r="D19" s="3" t="s">
        <v>128</v>
      </c>
      <c r="E19" s="3">
        <v>33</v>
      </c>
      <c r="F19" s="3">
        <v>11</v>
      </c>
      <c r="G19" s="3">
        <v>363</v>
      </c>
    </row>
  </sheetData>
  <conditionalFormatting sqref="F4:F1048576">
    <cfRule type="expression" dxfId="0" priority="2">
      <formula>MOD(ROW(),2)=1</formula>
    </cfRule>
  </conditionalFormatting>
  <conditionalFormatting sqref="G4:G1048576">
    <cfRule type="expression" dxfId="0" priority="1">
      <formula>MOD(ROW(),2)=1</formula>
    </cfRule>
  </conditionalFormatting>
  <conditionalFormatting sqref="C4:E1048576">
    <cfRule type="expression" dxfId="0" priority="3">
      <formula>MOD(ROW(),2)=1</formula>
    </cfRule>
  </conditionalFormatting>
  <dataValidations count="1">
    <dataValidation allowBlank="1" showInputMessage="1" showErrorMessage="1" sqref="$A4:$XFD1048576 C1:G3"/>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AL17"/>
  <sheetViews>
    <sheetView showGridLines="0" workbookViewId="0">
      <selection activeCell="E18" sqref="E18"/>
    </sheetView>
  </sheetViews>
  <sheetFormatPr defaultColWidth="9" defaultRowHeight="20.1" customHeight="1"/>
  <cols>
    <col min="1" max="1" width="3.625" style="3" customWidth="1"/>
    <col min="2" max="2" width="3.625" style="3" hidden="1" customWidth="1"/>
    <col min="3" max="3" width="11.75" style="3" customWidth="1"/>
    <col min="4" max="5" width="6.75" style="3" customWidth="1"/>
    <col min="6" max="36" width="4.25" style="3" customWidth="1"/>
    <col min="37" max="37" width="3.625" style="3" customWidth="1"/>
    <col min="38" max="38" width="11.5" style="3" customWidth="1"/>
    <col min="39" max="16384" width="9" style="3"/>
  </cols>
  <sheetData>
    <row r="1" s="1" customFormat="1" ht="50.1" customHeight="1" spans="2:38">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L1" s="3"/>
    </row>
    <row r="2" s="1" customFormat="1" ht="39.95" customHeight="1" spans="2:38">
      <c r="C2" s="4" t="s">
        <v>301</v>
      </c>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L2" s="3"/>
    </row>
    <row r="3" s="2" customFormat="1" ht="30" customHeight="1" spans="2:38">
      <c r="C3" s="5" t="s">
        <v>75</v>
      </c>
      <c r="D3" s="5" t="s">
        <v>302</v>
      </c>
      <c r="E3" s="5" t="s">
        <v>303</v>
      </c>
      <c r="F3" s="5">
        <v>1</v>
      </c>
      <c r="G3" s="5">
        <v>2</v>
      </c>
      <c r="H3" s="5">
        <v>3</v>
      </c>
      <c r="I3" s="5">
        <v>4</v>
      </c>
      <c r="J3" s="5">
        <v>5</v>
      </c>
      <c r="K3" s="5">
        <v>6</v>
      </c>
      <c r="L3" s="5">
        <v>7</v>
      </c>
      <c r="M3" s="5">
        <v>8</v>
      </c>
      <c r="N3" s="5">
        <v>9</v>
      </c>
      <c r="O3" s="5">
        <v>10</v>
      </c>
      <c r="P3" s="5">
        <v>11</v>
      </c>
      <c r="Q3" s="5">
        <v>12</v>
      </c>
      <c r="R3" s="5">
        <v>13</v>
      </c>
      <c r="S3" s="5">
        <v>14</v>
      </c>
      <c r="T3" s="5">
        <v>15</v>
      </c>
      <c r="U3" s="5">
        <v>16</v>
      </c>
      <c r="V3" s="5">
        <v>17</v>
      </c>
      <c r="W3" s="5">
        <v>18</v>
      </c>
      <c r="X3" s="5">
        <v>19</v>
      </c>
      <c r="Y3" s="5">
        <v>20</v>
      </c>
      <c r="Z3" s="5">
        <v>21</v>
      </c>
      <c r="AA3" s="5">
        <v>22</v>
      </c>
      <c r="AB3" s="5">
        <v>23</v>
      </c>
      <c r="AC3" s="5">
        <v>24</v>
      </c>
      <c r="AD3" s="5">
        <v>25</v>
      </c>
      <c r="AE3" s="5">
        <v>26</v>
      </c>
      <c r="AF3" s="5">
        <v>27</v>
      </c>
      <c r="AG3" s="5">
        <v>28</v>
      </c>
      <c r="AH3" s="5">
        <v>29</v>
      </c>
      <c r="AI3" s="5">
        <v>30</v>
      </c>
      <c r="AJ3" s="5">
        <v>31</v>
      </c>
      <c r="AL3" s="5" t="s">
        <v>302</v>
      </c>
    </row>
    <row r="4" customHeight="1" spans="2:38">
      <c r="B4" s="3">
        <v>48</v>
      </c>
      <c r="C4" s="3" t="s">
        <v>167</v>
      </c>
      <c r="D4" s="3">
        <v>2023</v>
      </c>
      <c r="E4" s="3" t="s">
        <v>304</v>
      </c>
      <c r="F4" s="3" t="s">
        <v>305</v>
      </c>
      <c r="G4" s="3" t="s">
        <v>305</v>
      </c>
      <c r="H4" s="3" t="s">
        <v>305</v>
      </c>
      <c r="I4" s="3" t="s">
        <v>305</v>
      </c>
      <c r="J4" s="3" t="s">
        <v>305</v>
      </c>
      <c r="K4" s="3" t="s">
        <v>305</v>
      </c>
      <c r="L4" s="3" t="s">
        <v>305</v>
      </c>
      <c r="M4" s="3" t="s">
        <v>305</v>
      </c>
      <c r="N4" s="3" t="s">
        <v>305</v>
      </c>
      <c r="O4" s="3" t="s">
        <v>305</v>
      </c>
      <c r="P4" s="3" t="s">
        <v>305</v>
      </c>
      <c r="Q4" s="3" t="s">
        <v>305</v>
      </c>
      <c r="R4" s="3" t="s">
        <v>305</v>
      </c>
      <c r="S4" s="3" t="s">
        <v>305</v>
      </c>
      <c r="T4" s="3" t="s">
        <v>305</v>
      </c>
      <c r="U4" s="3" t="s">
        <v>305</v>
      </c>
      <c r="V4" s="3" t="s">
        <v>305</v>
      </c>
      <c r="W4" s="3" t="s">
        <v>305</v>
      </c>
      <c r="X4" s="3" t="s">
        <v>305</v>
      </c>
      <c r="Y4" s="3" t="s">
        <v>305</v>
      </c>
      <c r="Z4" s="3" t="s">
        <v>305</v>
      </c>
      <c r="AA4" s="3" t="s">
        <v>305</v>
      </c>
      <c r="AB4" s="3" t="s">
        <v>305</v>
      </c>
      <c r="AC4" s="3" t="s">
        <v>305</v>
      </c>
      <c r="AD4" s="3" t="s">
        <v>305</v>
      </c>
      <c r="AE4" s="3" t="s">
        <v>305</v>
      </c>
      <c r="AF4" s="3" t="s">
        <v>305</v>
      </c>
      <c r="AG4" s="3" t="s">
        <v>305</v>
      </c>
      <c r="AH4" s="3" t="s">
        <v>305</v>
      </c>
      <c r="AI4" s="3" t="s">
        <v>305</v>
      </c>
      <c r="AJ4" s="3" t="s">
        <v>305</v>
      </c>
      <c r="AL4" s="3">
        <v>2020</v>
      </c>
    </row>
    <row r="5" customHeight="1" spans="2:38">
      <c r="B5" s="3">
        <v>49</v>
      </c>
      <c r="C5" s="3" t="s">
        <v>170</v>
      </c>
      <c r="D5" s="3">
        <v>2022</v>
      </c>
      <c r="E5" s="3" t="s">
        <v>304</v>
      </c>
      <c r="F5" s="3" t="s">
        <v>306</v>
      </c>
      <c r="G5" s="3" t="s">
        <v>305</v>
      </c>
      <c r="H5" s="3" t="s">
        <v>305</v>
      </c>
      <c r="I5" s="3" t="s">
        <v>307</v>
      </c>
      <c r="J5" s="3" t="s">
        <v>305</v>
      </c>
      <c r="K5" s="3" t="s">
        <v>305</v>
      </c>
      <c r="L5" s="3" t="s">
        <v>305</v>
      </c>
      <c r="M5" s="3" t="s">
        <v>305</v>
      </c>
      <c r="N5" s="3" t="s">
        <v>305</v>
      </c>
      <c r="O5" s="3" t="s">
        <v>305</v>
      </c>
      <c r="P5" s="3" t="s">
        <v>305</v>
      </c>
      <c r="Q5" s="3" t="s">
        <v>305</v>
      </c>
      <c r="R5" s="3" t="s">
        <v>305</v>
      </c>
      <c r="S5" s="3" t="s">
        <v>305</v>
      </c>
      <c r="T5" s="3" t="s">
        <v>305</v>
      </c>
      <c r="U5" s="3" t="s">
        <v>305</v>
      </c>
      <c r="V5" s="3" t="s">
        <v>305</v>
      </c>
      <c r="W5" s="3" t="s">
        <v>305</v>
      </c>
      <c r="X5" s="3" t="s">
        <v>305</v>
      </c>
      <c r="Y5" s="3" t="s">
        <v>305</v>
      </c>
      <c r="Z5" s="3" t="s">
        <v>305</v>
      </c>
      <c r="AA5" s="3" t="s">
        <v>305</v>
      </c>
      <c r="AB5" s="3" t="s">
        <v>305</v>
      </c>
      <c r="AC5" s="3" t="s">
        <v>305</v>
      </c>
      <c r="AD5" s="3" t="s">
        <v>305</v>
      </c>
      <c r="AE5" s="3" t="s">
        <v>305</v>
      </c>
      <c r="AF5" s="3" t="s">
        <v>305</v>
      </c>
      <c r="AG5" s="3" t="s">
        <v>305</v>
      </c>
      <c r="AH5" s="3" t="s">
        <v>305</v>
      </c>
      <c r="AI5" s="3" t="s">
        <v>305</v>
      </c>
      <c r="AJ5" s="3" t="s">
        <v>305</v>
      </c>
      <c r="AL5" s="3">
        <v>2021</v>
      </c>
    </row>
    <row r="6" customHeight="1" spans="2:38">
      <c r="B6" s="3">
        <v>50</v>
      </c>
      <c r="C6" s="3" t="s">
        <v>173</v>
      </c>
      <c r="D6" s="3">
        <v>2023</v>
      </c>
      <c r="E6" s="3" t="s">
        <v>308</v>
      </c>
      <c r="F6" s="3" t="s">
        <v>305</v>
      </c>
      <c r="G6" s="3" t="s">
        <v>305</v>
      </c>
      <c r="H6" s="3" t="s">
        <v>305</v>
      </c>
      <c r="I6" s="3" t="s">
        <v>305</v>
      </c>
      <c r="J6" s="3" t="s">
        <v>305</v>
      </c>
      <c r="K6" s="3" t="s">
        <v>305</v>
      </c>
      <c r="L6" s="3" t="s">
        <v>305</v>
      </c>
      <c r="M6" s="3" t="s">
        <v>305</v>
      </c>
      <c r="N6" s="3" t="s">
        <v>305</v>
      </c>
      <c r="O6" s="3" t="s">
        <v>305</v>
      </c>
      <c r="P6" s="3" t="s">
        <v>305</v>
      </c>
      <c r="Q6" s="3" t="s">
        <v>305</v>
      </c>
      <c r="R6" s="3" t="s">
        <v>305</v>
      </c>
      <c r="S6" s="3" t="s">
        <v>305</v>
      </c>
      <c r="T6" s="3" t="s">
        <v>305</v>
      </c>
      <c r="U6" s="3" t="s">
        <v>305</v>
      </c>
      <c r="V6" s="3" t="s">
        <v>305</v>
      </c>
      <c r="W6" s="3" t="s">
        <v>305</v>
      </c>
      <c r="X6" s="3" t="s">
        <v>305</v>
      </c>
      <c r="Y6" s="3" t="s">
        <v>305</v>
      </c>
      <c r="Z6" s="3" t="s">
        <v>305</v>
      </c>
      <c r="AA6" s="3" t="s">
        <v>305</v>
      </c>
      <c r="AB6" s="3" t="s">
        <v>305</v>
      </c>
      <c r="AC6" s="3" t="s">
        <v>305</v>
      </c>
      <c r="AD6" s="3" t="s">
        <v>305</v>
      </c>
      <c r="AE6" s="3" t="s">
        <v>305</v>
      </c>
      <c r="AF6" s="3" t="s">
        <v>305</v>
      </c>
      <c r="AG6" s="3" t="s">
        <v>305</v>
      </c>
      <c r="AH6" s="3" t="s">
        <v>305</v>
      </c>
      <c r="AI6" s="3" t="s">
        <v>305</v>
      </c>
      <c r="AJ6" s="3" t="s">
        <v>305</v>
      </c>
      <c r="AL6" s="3">
        <v>2022</v>
      </c>
    </row>
    <row r="7" customHeight="1" spans="2:38">
      <c r="B7" s="3">
        <v>51</v>
      </c>
      <c r="C7" s="3" t="s">
        <v>176</v>
      </c>
      <c r="D7" s="3">
        <v>2023</v>
      </c>
      <c r="E7" s="3" t="s">
        <v>309</v>
      </c>
      <c r="F7" s="3" t="s">
        <v>305</v>
      </c>
      <c r="G7" s="3" t="s">
        <v>310</v>
      </c>
      <c r="H7" s="3" t="s">
        <v>305</v>
      </c>
      <c r="I7" s="3" t="s">
        <v>305</v>
      </c>
      <c r="J7" s="3" t="s">
        <v>310</v>
      </c>
      <c r="K7" s="3" t="s">
        <v>305</v>
      </c>
      <c r="L7" s="3" t="s">
        <v>305</v>
      </c>
      <c r="M7" s="3" t="s">
        <v>305</v>
      </c>
      <c r="N7" s="3" t="s">
        <v>305</v>
      </c>
      <c r="O7" s="3" t="s">
        <v>305</v>
      </c>
      <c r="P7" s="3" t="s">
        <v>307</v>
      </c>
      <c r="Q7" s="3" t="s">
        <v>305</v>
      </c>
      <c r="R7" s="3" t="s">
        <v>305</v>
      </c>
      <c r="S7" s="3" t="s">
        <v>305</v>
      </c>
      <c r="T7" s="3" t="s">
        <v>310</v>
      </c>
      <c r="U7" s="3" t="s">
        <v>305</v>
      </c>
      <c r="V7" s="3" t="s">
        <v>305</v>
      </c>
      <c r="W7" s="3" t="s">
        <v>305</v>
      </c>
      <c r="X7" s="3" t="s">
        <v>305</v>
      </c>
      <c r="Y7" s="3" t="s">
        <v>305</v>
      </c>
      <c r="Z7" s="3" t="s">
        <v>305</v>
      </c>
      <c r="AA7" s="3" t="s">
        <v>305</v>
      </c>
      <c r="AB7" s="3" t="s">
        <v>307</v>
      </c>
      <c r="AC7" s="3" t="s">
        <v>305</v>
      </c>
      <c r="AD7" s="3" t="s">
        <v>305</v>
      </c>
      <c r="AE7" s="3" t="s">
        <v>305</v>
      </c>
      <c r="AF7" s="3" t="s">
        <v>310</v>
      </c>
      <c r="AG7" s="3" t="s">
        <v>305</v>
      </c>
      <c r="AH7" s="3" t="s">
        <v>305</v>
      </c>
      <c r="AI7" s="3" t="s">
        <v>305</v>
      </c>
      <c r="AJ7" s="3" t="s">
        <v>305</v>
      </c>
      <c r="AL7" s="3">
        <v>2023</v>
      </c>
    </row>
    <row r="8" customHeight="1" spans="2:38">
      <c r="B8" s="3">
        <v>52</v>
      </c>
      <c r="C8" s="3" t="s">
        <v>178</v>
      </c>
      <c r="D8" s="3">
        <v>2023</v>
      </c>
      <c r="E8" s="3" t="s">
        <v>311</v>
      </c>
      <c r="F8" s="3" t="s">
        <v>305</v>
      </c>
      <c r="G8" s="3" t="s">
        <v>305</v>
      </c>
      <c r="H8" s="3" t="s">
        <v>305</v>
      </c>
      <c r="I8" s="3" t="s">
        <v>305</v>
      </c>
      <c r="J8" s="3" t="s">
        <v>305</v>
      </c>
      <c r="K8" s="3" t="s">
        <v>305</v>
      </c>
      <c r="L8" s="3" t="s">
        <v>305</v>
      </c>
      <c r="M8" s="3" t="s">
        <v>305</v>
      </c>
      <c r="N8" s="3" t="s">
        <v>307</v>
      </c>
      <c r="O8" s="3" t="s">
        <v>305</v>
      </c>
      <c r="P8" s="3" t="s">
        <v>305</v>
      </c>
      <c r="Q8" s="3" t="s">
        <v>305</v>
      </c>
      <c r="R8" s="3" t="s">
        <v>310</v>
      </c>
      <c r="S8" s="3" t="s">
        <v>305</v>
      </c>
      <c r="T8" s="3" t="s">
        <v>305</v>
      </c>
      <c r="U8" s="3" t="s">
        <v>310</v>
      </c>
      <c r="V8" s="3" t="s">
        <v>305</v>
      </c>
      <c r="W8" s="3" t="s">
        <v>305</v>
      </c>
      <c r="X8" s="3" t="s">
        <v>305</v>
      </c>
      <c r="Y8" s="3" t="s">
        <v>305</v>
      </c>
      <c r="Z8" s="3" t="s">
        <v>310</v>
      </c>
      <c r="AA8" s="3" t="s">
        <v>305</v>
      </c>
      <c r="AB8" s="3" t="s">
        <v>310</v>
      </c>
      <c r="AC8" s="3" t="s">
        <v>305</v>
      </c>
      <c r="AD8" s="3" t="s">
        <v>305</v>
      </c>
      <c r="AE8" s="3" t="s">
        <v>305</v>
      </c>
      <c r="AF8" s="3" t="s">
        <v>305</v>
      </c>
      <c r="AG8" s="3" t="s">
        <v>310</v>
      </c>
      <c r="AH8" s="3" t="s">
        <v>305</v>
      </c>
      <c r="AI8" s="3" t="s">
        <v>305</v>
      </c>
      <c r="AJ8" s="3" t="s">
        <v>305</v>
      </c>
      <c r="AL8" s="3">
        <v>2024</v>
      </c>
    </row>
    <row r="9" customHeight="1" spans="2:38">
      <c r="B9" s="3">
        <v>53</v>
      </c>
      <c r="C9" s="3" t="s">
        <v>240</v>
      </c>
      <c r="D9" s="3">
        <v>2023</v>
      </c>
      <c r="E9" s="3" t="s">
        <v>312</v>
      </c>
      <c r="F9" s="3" t="s">
        <v>305</v>
      </c>
      <c r="G9" s="3" t="s">
        <v>305</v>
      </c>
      <c r="H9" s="3" t="s">
        <v>305</v>
      </c>
      <c r="I9" s="3" t="s">
        <v>305</v>
      </c>
      <c r="J9" s="3" t="s">
        <v>305</v>
      </c>
      <c r="K9" s="3" t="s">
        <v>305</v>
      </c>
      <c r="L9" s="3" t="s">
        <v>305</v>
      </c>
      <c r="M9" s="3" t="s">
        <v>305</v>
      </c>
      <c r="N9" s="3" t="s">
        <v>305</v>
      </c>
      <c r="O9" s="3" t="s">
        <v>305</v>
      </c>
      <c r="P9" s="3" t="s">
        <v>305</v>
      </c>
      <c r="Q9" s="3" t="s">
        <v>305</v>
      </c>
      <c r="R9" s="3" t="s">
        <v>305</v>
      </c>
      <c r="S9" s="3" t="s">
        <v>305</v>
      </c>
      <c r="T9" s="3" t="s">
        <v>310</v>
      </c>
      <c r="U9" s="3" t="s">
        <v>305</v>
      </c>
      <c r="V9" s="3" t="s">
        <v>305</v>
      </c>
      <c r="W9" s="3" t="s">
        <v>305</v>
      </c>
      <c r="X9" s="3" t="s">
        <v>305</v>
      </c>
      <c r="Y9" s="3" t="s">
        <v>307</v>
      </c>
      <c r="Z9" s="3" t="s">
        <v>305</v>
      </c>
      <c r="AA9" s="3" t="s">
        <v>305</v>
      </c>
      <c r="AB9" s="3" t="s">
        <v>305</v>
      </c>
      <c r="AC9" s="3" t="s">
        <v>310</v>
      </c>
      <c r="AD9" s="3" t="s">
        <v>305</v>
      </c>
      <c r="AE9" s="3" t="s">
        <v>305</v>
      </c>
      <c r="AF9" s="3" t="s">
        <v>305</v>
      </c>
      <c r="AG9" s="3" t="s">
        <v>305</v>
      </c>
      <c r="AH9" s="3" t="s">
        <v>307</v>
      </c>
      <c r="AI9" s="3" t="s">
        <v>305</v>
      </c>
      <c r="AJ9" s="3" t="s">
        <v>305</v>
      </c>
      <c r="AL9" s="3">
        <v>2025</v>
      </c>
    </row>
    <row r="10" customHeight="1" spans="2:38">
      <c r="B10" s="3">
        <v>54</v>
      </c>
      <c r="C10" s="3" t="s">
        <v>160</v>
      </c>
      <c r="D10" s="3">
        <v>2023</v>
      </c>
      <c r="E10" s="3" t="s">
        <v>313</v>
      </c>
      <c r="F10" s="3" t="s">
        <v>305</v>
      </c>
      <c r="G10" s="3" t="s">
        <v>305</v>
      </c>
      <c r="H10" s="3" t="s">
        <v>310</v>
      </c>
      <c r="I10" s="3" t="s">
        <v>305</v>
      </c>
      <c r="J10" s="3" t="s">
        <v>305</v>
      </c>
      <c r="K10" s="3" t="s">
        <v>307</v>
      </c>
      <c r="L10" s="3" t="s">
        <v>305</v>
      </c>
      <c r="M10" s="3" t="s">
        <v>305</v>
      </c>
      <c r="N10" s="3" t="s">
        <v>305</v>
      </c>
      <c r="O10" s="3" t="s">
        <v>305</v>
      </c>
      <c r="P10" s="3" t="s">
        <v>305</v>
      </c>
      <c r="Q10" s="3" t="s">
        <v>305</v>
      </c>
      <c r="R10" s="3" t="s">
        <v>305</v>
      </c>
      <c r="S10" s="3" t="s">
        <v>305</v>
      </c>
      <c r="T10" s="3" t="s">
        <v>305</v>
      </c>
      <c r="U10" s="3" t="s">
        <v>310</v>
      </c>
      <c r="V10" s="3" t="s">
        <v>305</v>
      </c>
      <c r="W10" s="3" t="s">
        <v>305</v>
      </c>
      <c r="X10" s="3" t="s">
        <v>305</v>
      </c>
      <c r="Y10" s="3" t="s">
        <v>305</v>
      </c>
      <c r="Z10" s="3" t="s">
        <v>305</v>
      </c>
      <c r="AA10" s="3" t="s">
        <v>305</v>
      </c>
      <c r="AB10" s="3" t="s">
        <v>305</v>
      </c>
      <c r="AC10" s="3" t="s">
        <v>305</v>
      </c>
      <c r="AD10" s="3" t="s">
        <v>305</v>
      </c>
      <c r="AE10" s="3" t="s">
        <v>307</v>
      </c>
      <c r="AF10" s="3" t="s">
        <v>305</v>
      </c>
      <c r="AG10" s="3" t="s">
        <v>305</v>
      </c>
      <c r="AH10" s="3" t="s">
        <v>305</v>
      </c>
      <c r="AI10" s="3" t="s">
        <v>310</v>
      </c>
      <c r="AJ10" s="3" t="s">
        <v>305</v>
      </c>
      <c r="AL10" s="3">
        <v>2026</v>
      </c>
    </row>
    <row r="11" customHeight="1" spans="2:38">
      <c r="B11" s="3">
        <v>55</v>
      </c>
      <c r="C11" s="3" t="s">
        <v>314</v>
      </c>
      <c r="D11" s="3">
        <v>2023</v>
      </c>
      <c r="E11" s="3" t="s">
        <v>315</v>
      </c>
      <c r="F11" s="3" t="s">
        <v>305</v>
      </c>
      <c r="G11" s="3" t="s">
        <v>310</v>
      </c>
      <c r="H11" s="3" t="s">
        <v>305</v>
      </c>
      <c r="I11" s="3" t="s">
        <v>305</v>
      </c>
      <c r="J11" s="3" t="s">
        <v>307</v>
      </c>
      <c r="K11" s="3" t="s">
        <v>305</v>
      </c>
      <c r="L11" s="3" t="s">
        <v>305</v>
      </c>
      <c r="M11" s="3" t="s">
        <v>305</v>
      </c>
      <c r="N11" s="3" t="s">
        <v>305</v>
      </c>
      <c r="O11" s="3" t="s">
        <v>305</v>
      </c>
      <c r="P11" s="3" t="s">
        <v>305</v>
      </c>
      <c r="Q11" s="3" t="s">
        <v>305</v>
      </c>
      <c r="R11" s="3" t="s">
        <v>305</v>
      </c>
      <c r="S11" s="3" t="s">
        <v>305</v>
      </c>
      <c r="T11" s="3" t="s">
        <v>305</v>
      </c>
      <c r="U11" s="3" t="s">
        <v>305</v>
      </c>
      <c r="V11" s="3" t="s">
        <v>310</v>
      </c>
      <c r="W11" s="3" t="s">
        <v>305</v>
      </c>
      <c r="X11" s="3" t="s">
        <v>305</v>
      </c>
      <c r="Y11" s="3" t="s">
        <v>305</v>
      </c>
      <c r="Z11" s="3" t="s">
        <v>305</v>
      </c>
      <c r="AA11" s="3" t="s">
        <v>305</v>
      </c>
      <c r="AB11" s="3" t="s">
        <v>305</v>
      </c>
      <c r="AC11" s="3" t="s">
        <v>310</v>
      </c>
      <c r="AD11" s="3" t="s">
        <v>305</v>
      </c>
      <c r="AE11" s="3" t="s">
        <v>305</v>
      </c>
      <c r="AF11" s="3" t="s">
        <v>305</v>
      </c>
      <c r="AG11" s="3" t="s">
        <v>310</v>
      </c>
      <c r="AH11" s="3" t="s">
        <v>305</v>
      </c>
      <c r="AI11" s="3" t="s">
        <v>305</v>
      </c>
      <c r="AJ11" s="3" t="s">
        <v>305</v>
      </c>
      <c r="AL11" s="3">
        <v>2027</v>
      </c>
    </row>
    <row r="12" customHeight="1" spans="2:38">
      <c r="B12" s="3">
        <v>56</v>
      </c>
      <c r="C12" s="3" t="s">
        <v>156</v>
      </c>
      <c r="D12" s="3">
        <v>2023</v>
      </c>
      <c r="E12" s="3" t="s">
        <v>311</v>
      </c>
      <c r="F12" s="3" t="s">
        <v>305</v>
      </c>
      <c r="G12" s="3" t="s">
        <v>310</v>
      </c>
      <c r="H12" s="3" t="s">
        <v>305</v>
      </c>
      <c r="I12" s="3" t="s">
        <v>305</v>
      </c>
      <c r="J12" s="3" t="s">
        <v>305</v>
      </c>
      <c r="K12" s="3" t="s">
        <v>305</v>
      </c>
      <c r="L12" s="3" t="s">
        <v>305</v>
      </c>
      <c r="M12" s="3" t="s">
        <v>307</v>
      </c>
      <c r="N12" s="3" t="s">
        <v>305</v>
      </c>
      <c r="O12" s="3" t="s">
        <v>305</v>
      </c>
      <c r="P12" s="3" t="s">
        <v>305</v>
      </c>
      <c r="Q12" s="3" t="s">
        <v>305</v>
      </c>
      <c r="R12" s="3" t="s">
        <v>305</v>
      </c>
      <c r="S12" s="3" t="s">
        <v>305</v>
      </c>
      <c r="T12" s="3" t="s">
        <v>305</v>
      </c>
      <c r="U12" s="3" t="s">
        <v>305</v>
      </c>
      <c r="V12" s="3" t="s">
        <v>305</v>
      </c>
      <c r="W12" s="3" t="s">
        <v>305</v>
      </c>
      <c r="X12" s="3" t="s">
        <v>305</v>
      </c>
      <c r="Y12" s="3" t="s">
        <v>305</v>
      </c>
      <c r="Z12" s="3" t="s">
        <v>310</v>
      </c>
      <c r="AA12" s="3" t="s">
        <v>305</v>
      </c>
      <c r="AB12" s="3" t="s">
        <v>305</v>
      </c>
      <c r="AC12" s="3" t="s">
        <v>305</v>
      </c>
      <c r="AD12" s="3" t="s">
        <v>305</v>
      </c>
      <c r="AE12" s="3" t="s">
        <v>307</v>
      </c>
      <c r="AF12" s="3" t="s">
        <v>305</v>
      </c>
      <c r="AG12" s="3" t="s">
        <v>305</v>
      </c>
      <c r="AH12" s="3" t="s">
        <v>305</v>
      </c>
      <c r="AI12" s="3" t="s">
        <v>305</v>
      </c>
      <c r="AJ12" s="3" t="s">
        <v>305</v>
      </c>
      <c r="AL12" s="3">
        <v>2028</v>
      </c>
    </row>
    <row r="13" customHeight="1" spans="2:38">
      <c r="B13" s="3">
        <v>57</v>
      </c>
      <c r="C13" s="3" t="s">
        <v>163</v>
      </c>
      <c r="D13" s="3">
        <v>2022</v>
      </c>
      <c r="E13" s="3" t="s">
        <v>316</v>
      </c>
      <c r="F13" s="3" t="s">
        <v>305</v>
      </c>
      <c r="G13" s="3" t="s">
        <v>305</v>
      </c>
      <c r="H13" s="3" t="s">
        <v>305</v>
      </c>
      <c r="I13" s="3" t="s">
        <v>305</v>
      </c>
      <c r="J13" s="3" t="s">
        <v>305</v>
      </c>
      <c r="K13" s="3" t="s">
        <v>305</v>
      </c>
      <c r="L13" s="3" t="s">
        <v>305</v>
      </c>
      <c r="M13" s="3" t="s">
        <v>305</v>
      </c>
      <c r="N13" s="3" t="s">
        <v>305</v>
      </c>
      <c r="O13" s="3" t="s">
        <v>305</v>
      </c>
      <c r="P13" s="3" t="s">
        <v>305</v>
      </c>
      <c r="Q13" s="3" t="s">
        <v>310</v>
      </c>
      <c r="R13" s="3" t="s">
        <v>305</v>
      </c>
      <c r="S13" s="3" t="s">
        <v>305</v>
      </c>
      <c r="T13" s="3" t="s">
        <v>305</v>
      </c>
      <c r="U13" s="3" t="s">
        <v>305</v>
      </c>
      <c r="V13" s="3" t="s">
        <v>305</v>
      </c>
      <c r="W13" s="3" t="s">
        <v>310</v>
      </c>
      <c r="X13" s="3" t="s">
        <v>305</v>
      </c>
      <c r="Y13" s="3" t="s">
        <v>305</v>
      </c>
      <c r="Z13" s="3" t="s">
        <v>310</v>
      </c>
      <c r="AA13" s="3" t="s">
        <v>305</v>
      </c>
      <c r="AB13" s="3" t="s">
        <v>305</v>
      </c>
      <c r="AC13" s="3" t="s">
        <v>305</v>
      </c>
      <c r="AD13" s="3" t="s">
        <v>307</v>
      </c>
      <c r="AE13" s="3" t="s">
        <v>305</v>
      </c>
      <c r="AF13" s="3" t="s">
        <v>305</v>
      </c>
      <c r="AG13" s="3" t="s">
        <v>305</v>
      </c>
      <c r="AH13" s="3" t="s">
        <v>305</v>
      </c>
      <c r="AI13" s="3" t="s">
        <v>305</v>
      </c>
      <c r="AJ13" s="3" t="s">
        <v>305</v>
      </c>
      <c r="AL13" s="3">
        <v>2029</v>
      </c>
    </row>
    <row r="14" customHeight="1" spans="2:38">
      <c r="B14" s="3">
        <v>58</v>
      </c>
      <c r="C14" s="3" t="s">
        <v>146</v>
      </c>
      <c r="D14" s="3">
        <v>2022</v>
      </c>
      <c r="E14" s="3" t="s">
        <v>309</v>
      </c>
      <c r="F14" s="3" t="s">
        <v>305</v>
      </c>
      <c r="G14" s="3" t="s">
        <v>305</v>
      </c>
      <c r="H14" s="3" t="s">
        <v>305</v>
      </c>
      <c r="I14" s="3" t="s">
        <v>305</v>
      </c>
      <c r="J14" s="3" t="s">
        <v>305</v>
      </c>
      <c r="K14" s="3" t="s">
        <v>305</v>
      </c>
      <c r="L14" s="3" t="s">
        <v>305</v>
      </c>
      <c r="M14" s="3" t="s">
        <v>305</v>
      </c>
      <c r="N14" s="3" t="s">
        <v>305</v>
      </c>
      <c r="O14" s="3" t="s">
        <v>305</v>
      </c>
      <c r="P14" s="3" t="s">
        <v>305</v>
      </c>
      <c r="Q14" s="3" t="s">
        <v>305</v>
      </c>
      <c r="R14" s="3" t="s">
        <v>305</v>
      </c>
      <c r="S14" s="3" t="s">
        <v>305</v>
      </c>
      <c r="T14" s="3" t="s">
        <v>305</v>
      </c>
      <c r="U14" s="3" t="s">
        <v>305</v>
      </c>
      <c r="V14" s="3" t="s">
        <v>310</v>
      </c>
      <c r="W14" s="3" t="s">
        <v>305</v>
      </c>
      <c r="X14" s="3" t="s">
        <v>305</v>
      </c>
      <c r="Y14" s="3" t="s">
        <v>310</v>
      </c>
      <c r="Z14" s="3" t="s">
        <v>305</v>
      </c>
      <c r="AA14" s="3" t="s">
        <v>305</v>
      </c>
      <c r="AB14" s="3" t="s">
        <v>305</v>
      </c>
      <c r="AC14" s="3" t="s">
        <v>305</v>
      </c>
      <c r="AD14" s="3" t="s">
        <v>310</v>
      </c>
      <c r="AE14" s="3" t="s">
        <v>305</v>
      </c>
      <c r="AF14" s="3" t="s">
        <v>305</v>
      </c>
      <c r="AG14" s="3" t="s">
        <v>305</v>
      </c>
      <c r="AH14" s="3" t="s">
        <v>305</v>
      </c>
      <c r="AI14" s="3" t="s">
        <v>305</v>
      </c>
      <c r="AJ14" s="3" t="s">
        <v>305</v>
      </c>
      <c r="AL14" s="3">
        <v>2030</v>
      </c>
    </row>
    <row r="15" customHeight="1" spans="2:38">
      <c r="B15" s="3">
        <v>61</v>
      </c>
      <c r="C15" s="3" t="s">
        <v>180</v>
      </c>
      <c r="D15" s="3">
        <v>2023</v>
      </c>
      <c r="E15" s="3" t="s">
        <v>317</v>
      </c>
      <c r="F15" s="3" t="s">
        <v>307</v>
      </c>
      <c r="G15" s="3" t="s">
        <v>305</v>
      </c>
      <c r="H15" s="3" t="s">
        <v>305</v>
      </c>
      <c r="I15" s="3" t="s">
        <v>305</v>
      </c>
      <c r="J15" s="3" t="s">
        <v>305</v>
      </c>
      <c r="K15" s="3" t="s">
        <v>305</v>
      </c>
      <c r="L15" s="3" t="s">
        <v>305</v>
      </c>
      <c r="M15" s="3" t="s">
        <v>305</v>
      </c>
      <c r="N15" s="3" t="s">
        <v>305</v>
      </c>
      <c r="O15" s="3" t="s">
        <v>305</v>
      </c>
      <c r="P15" s="3" t="s">
        <v>305</v>
      </c>
      <c r="Q15" s="3" t="s">
        <v>305</v>
      </c>
      <c r="R15" s="3" t="s">
        <v>305</v>
      </c>
      <c r="S15" s="3" t="s">
        <v>305</v>
      </c>
      <c r="T15" s="3" t="s">
        <v>305</v>
      </c>
      <c r="U15" s="3" t="s">
        <v>305</v>
      </c>
      <c r="V15" s="3" t="s">
        <v>305</v>
      </c>
      <c r="W15" s="3" t="s">
        <v>305</v>
      </c>
      <c r="X15" s="3" t="s">
        <v>305</v>
      </c>
      <c r="Y15" s="3" t="s">
        <v>305</v>
      </c>
      <c r="Z15" s="3" t="s">
        <v>305</v>
      </c>
      <c r="AA15" s="3" t="s">
        <v>305</v>
      </c>
      <c r="AB15" s="3" t="s">
        <v>305</v>
      </c>
      <c r="AC15" s="3" t="s">
        <v>305</v>
      </c>
      <c r="AD15" s="3" t="s">
        <v>305</v>
      </c>
      <c r="AE15" s="3" t="s">
        <v>305</v>
      </c>
      <c r="AF15" s="3" t="s">
        <v>305</v>
      </c>
      <c r="AG15" s="3" t="s">
        <v>305</v>
      </c>
      <c r="AH15" s="3" t="s">
        <v>305</v>
      </c>
      <c r="AI15" s="3" t="s">
        <v>305</v>
      </c>
      <c r="AJ15" s="3" t="s">
        <v>305</v>
      </c>
    </row>
    <row r="16" customHeight="1" spans="2:38">
      <c r="B16" s="3">
        <v>62</v>
      </c>
      <c r="C16" s="3" t="s">
        <v>318</v>
      </c>
      <c r="D16" s="3">
        <v>2023</v>
      </c>
      <c r="E16" s="3" t="s">
        <v>313</v>
      </c>
      <c r="F16" s="3" t="s">
        <v>305</v>
      </c>
      <c r="G16" s="3" t="s">
        <v>305</v>
      </c>
      <c r="H16" s="3" t="s">
        <v>305</v>
      </c>
      <c r="I16" s="3" t="s">
        <v>305</v>
      </c>
      <c r="J16" s="3" t="s">
        <v>305</v>
      </c>
      <c r="K16" s="3" t="s">
        <v>305</v>
      </c>
      <c r="L16" s="3" t="s">
        <v>305</v>
      </c>
      <c r="M16" s="3" t="s">
        <v>305</v>
      </c>
      <c r="N16" s="3" t="s">
        <v>305</v>
      </c>
      <c r="O16" s="3" t="s">
        <v>305</v>
      </c>
      <c r="P16" s="3" t="s">
        <v>305</v>
      </c>
      <c r="Q16" s="3" t="s">
        <v>310</v>
      </c>
      <c r="R16" s="3" t="s">
        <v>305</v>
      </c>
      <c r="S16" s="3" t="s">
        <v>305</v>
      </c>
      <c r="T16" s="3" t="s">
        <v>305</v>
      </c>
      <c r="U16" s="3" t="s">
        <v>305</v>
      </c>
      <c r="V16" s="3" t="s">
        <v>305</v>
      </c>
      <c r="W16" s="3" t="s">
        <v>305</v>
      </c>
      <c r="X16" s="3" t="s">
        <v>305</v>
      </c>
      <c r="Y16" s="3" t="s">
        <v>305</v>
      </c>
      <c r="Z16" s="3" t="s">
        <v>305</v>
      </c>
      <c r="AA16" s="3" t="s">
        <v>305</v>
      </c>
      <c r="AB16" s="3" t="s">
        <v>305</v>
      </c>
      <c r="AC16" s="3" t="s">
        <v>305</v>
      </c>
      <c r="AD16" s="3" t="s">
        <v>305</v>
      </c>
      <c r="AE16" s="3" t="s">
        <v>305</v>
      </c>
      <c r="AF16" s="3" t="s">
        <v>305</v>
      </c>
      <c r="AG16" s="3" t="s">
        <v>305</v>
      </c>
      <c r="AH16" s="3" t="s">
        <v>305</v>
      </c>
      <c r="AI16" s="3" t="s">
        <v>305</v>
      </c>
      <c r="AJ16" s="3" t="s">
        <v>305</v>
      </c>
    </row>
    <row r="17" customHeight="1" spans="2:36">
      <c r="B17" s="3">
        <v>68</v>
      </c>
      <c r="C17" s="3">
        <v>11</v>
      </c>
      <c r="D17" s="3">
        <v>2025</v>
      </c>
      <c r="E17" s="3" t="s">
        <v>304</v>
      </c>
      <c r="F17" s="3" t="s">
        <v>305</v>
      </c>
      <c r="G17" s="3" t="s">
        <v>305</v>
      </c>
      <c r="H17" s="3" t="s">
        <v>305</v>
      </c>
      <c r="I17" s="3" t="s">
        <v>305</v>
      </c>
      <c r="J17" s="3" t="s">
        <v>305</v>
      </c>
      <c r="K17" s="3" t="s">
        <v>305</v>
      </c>
      <c r="L17" s="3" t="s">
        <v>305</v>
      </c>
      <c r="M17" s="3" t="s">
        <v>305</v>
      </c>
      <c r="N17" s="3" t="s">
        <v>305</v>
      </c>
      <c r="O17" s="3" t="s">
        <v>305</v>
      </c>
      <c r="P17" s="3" t="s">
        <v>305</v>
      </c>
      <c r="Q17" s="3" t="s">
        <v>305</v>
      </c>
      <c r="R17" s="3" t="s">
        <v>305</v>
      </c>
      <c r="S17" s="3" t="s">
        <v>305</v>
      </c>
      <c r="T17" s="3" t="s">
        <v>305</v>
      </c>
      <c r="U17" s="3" t="s">
        <v>305</v>
      </c>
      <c r="V17" s="3" t="s">
        <v>305</v>
      </c>
      <c r="W17" s="3" t="s">
        <v>305</v>
      </c>
      <c r="X17" s="3" t="s">
        <v>305</v>
      </c>
      <c r="Y17" s="3" t="s">
        <v>305</v>
      </c>
      <c r="Z17" s="3" t="s">
        <v>305</v>
      </c>
      <c r="AA17" s="3" t="s">
        <v>305</v>
      </c>
      <c r="AB17" s="3" t="s">
        <v>305</v>
      </c>
      <c r="AC17" s="3" t="s">
        <v>305</v>
      </c>
      <c r="AD17" s="3" t="s">
        <v>305</v>
      </c>
      <c r="AE17" s="3" t="s">
        <v>305</v>
      </c>
      <c r="AF17" s="3" t="s">
        <v>305</v>
      </c>
      <c r="AG17" s="3" t="s">
        <v>305</v>
      </c>
      <c r="AH17" s="3" t="s">
        <v>305</v>
      </c>
      <c r="AI17" s="3" t="s">
        <v>305</v>
      </c>
      <c r="AJ17" s="3" t="s">
        <v>305</v>
      </c>
    </row>
  </sheetData>
  <conditionalFormatting sqref="F4:F1048576">
    <cfRule type="expression" dxfId="0" priority="32">
      <formula>MOD(ROW(),2)=1</formula>
    </cfRule>
  </conditionalFormatting>
  <conditionalFormatting sqref="G4:G1048576">
    <cfRule type="expression" dxfId="0" priority="31">
      <formula>MOD(ROW(),2)=1</formula>
    </cfRule>
  </conditionalFormatting>
  <conditionalFormatting sqref="H4:H1048576">
    <cfRule type="expression" dxfId="0" priority="30">
      <formula>MOD(ROW(),2)=1</formula>
    </cfRule>
  </conditionalFormatting>
  <conditionalFormatting sqref="I4:I1048576">
    <cfRule type="expression" dxfId="0" priority="29">
      <formula>MOD(ROW(),2)=1</formula>
    </cfRule>
  </conditionalFormatting>
  <conditionalFormatting sqref="J4:J1048576">
    <cfRule type="expression" dxfId="0" priority="28">
      <formula>MOD(ROW(),2)=1</formula>
    </cfRule>
  </conditionalFormatting>
  <conditionalFormatting sqref="K4:K1048576">
    <cfRule type="expression" dxfId="0" priority="27">
      <formula>MOD(ROW(),2)=1</formula>
    </cfRule>
  </conditionalFormatting>
  <conditionalFormatting sqref="L4:L1048576">
    <cfRule type="expression" dxfId="0" priority="26">
      <formula>MOD(ROW(),2)=1</formula>
    </cfRule>
  </conditionalFormatting>
  <conditionalFormatting sqref="M4:M1048576">
    <cfRule type="expression" dxfId="0" priority="25">
      <formula>MOD(ROW(),2)=1</formula>
    </cfRule>
  </conditionalFormatting>
  <conditionalFormatting sqref="N4:N1048576">
    <cfRule type="expression" dxfId="0" priority="24">
      <formula>MOD(ROW(),2)=1</formula>
    </cfRule>
  </conditionalFormatting>
  <conditionalFormatting sqref="O4:O1048576">
    <cfRule type="expression" dxfId="0" priority="23">
      <formula>MOD(ROW(),2)=1</formula>
    </cfRule>
  </conditionalFormatting>
  <conditionalFormatting sqref="P4:P1048576">
    <cfRule type="expression" dxfId="0" priority="22">
      <formula>MOD(ROW(),2)=1</formula>
    </cfRule>
  </conditionalFormatting>
  <conditionalFormatting sqref="Q4:Q1048576">
    <cfRule type="expression" dxfId="0" priority="21">
      <formula>MOD(ROW(),2)=1</formula>
    </cfRule>
  </conditionalFormatting>
  <conditionalFormatting sqref="R4:R1048576">
    <cfRule type="expression" dxfId="0" priority="20">
      <formula>MOD(ROW(),2)=1</formula>
    </cfRule>
  </conditionalFormatting>
  <conditionalFormatting sqref="S4:S1048576">
    <cfRule type="expression" dxfId="0" priority="19">
      <formula>MOD(ROW(),2)=1</formula>
    </cfRule>
  </conditionalFormatting>
  <conditionalFormatting sqref="T4:T1048576">
    <cfRule type="expression" dxfId="0" priority="18">
      <formula>MOD(ROW(),2)=1</formula>
    </cfRule>
  </conditionalFormatting>
  <conditionalFormatting sqref="U4:U1048576">
    <cfRule type="expression" dxfId="0" priority="17">
      <formula>MOD(ROW(),2)=1</formula>
    </cfRule>
  </conditionalFormatting>
  <conditionalFormatting sqref="V4:V1048576">
    <cfRule type="expression" dxfId="0" priority="16">
      <formula>MOD(ROW(),2)=1</formula>
    </cfRule>
  </conditionalFormatting>
  <conditionalFormatting sqref="W4:W1048576">
    <cfRule type="expression" dxfId="0" priority="15">
      <formula>MOD(ROW(),2)=1</formula>
    </cfRule>
  </conditionalFormatting>
  <conditionalFormatting sqref="X4:X1048576">
    <cfRule type="expression" dxfId="0" priority="14">
      <formula>MOD(ROW(),2)=1</formula>
    </cfRule>
  </conditionalFormatting>
  <conditionalFormatting sqref="Y4:Y1048576">
    <cfRule type="expression" dxfId="0" priority="13">
      <formula>MOD(ROW(),2)=1</formula>
    </cfRule>
  </conditionalFormatting>
  <conditionalFormatting sqref="Z4:Z1048576">
    <cfRule type="expression" dxfId="0" priority="12">
      <formula>MOD(ROW(),2)=1</formula>
    </cfRule>
  </conditionalFormatting>
  <conditionalFormatting sqref="AA4:AA1048576">
    <cfRule type="expression" dxfId="0" priority="11">
      <formula>MOD(ROW(),2)=1</formula>
    </cfRule>
  </conditionalFormatting>
  <conditionalFormatting sqref="AB4:AB1048576">
    <cfRule type="expression" dxfId="0" priority="10">
      <formula>MOD(ROW(),2)=1</formula>
    </cfRule>
  </conditionalFormatting>
  <conditionalFormatting sqref="AC4:AC1048576">
    <cfRule type="expression" dxfId="0" priority="9">
      <formula>MOD(ROW(),2)=1</formula>
    </cfRule>
  </conditionalFormatting>
  <conditionalFormatting sqref="AD4:AD1048576">
    <cfRule type="expression" dxfId="0" priority="8">
      <formula>MOD(ROW(),2)=1</formula>
    </cfRule>
  </conditionalFormatting>
  <conditionalFormatting sqref="AE4:AE1048576">
    <cfRule type="expression" dxfId="0" priority="7">
      <formula>MOD(ROW(),2)=1</formula>
    </cfRule>
  </conditionalFormatting>
  <conditionalFormatting sqref="AF4:AF1048576">
    <cfRule type="expression" dxfId="0" priority="6">
      <formula>MOD(ROW(),2)=1</formula>
    </cfRule>
  </conditionalFormatting>
  <conditionalFormatting sqref="AG4:AG1048576">
    <cfRule type="expression" dxfId="0" priority="5">
      <formula>MOD(ROW(),2)=1</formula>
    </cfRule>
  </conditionalFormatting>
  <conditionalFormatting sqref="AH4:AH1048576">
    <cfRule type="expression" dxfId="0" priority="4">
      <formula>MOD(ROW(),2)=1</formula>
    </cfRule>
  </conditionalFormatting>
  <conditionalFormatting sqref="AI4:AI1048576">
    <cfRule type="expression" dxfId="0" priority="3">
      <formula>MOD(ROW(),2)=1</formula>
    </cfRule>
  </conditionalFormatting>
  <conditionalFormatting sqref="AJ4:AJ1048576">
    <cfRule type="expression" dxfId="0" priority="2">
      <formula>MOD(ROW(),2)=1</formula>
    </cfRule>
  </conditionalFormatting>
  <conditionalFormatting sqref="AL4:AL1048576">
    <cfRule type="expression" dxfId="0" priority="1">
      <formula>MOD(ROW(),2)=1</formula>
    </cfRule>
  </conditionalFormatting>
  <conditionalFormatting sqref="C4:E1048576">
    <cfRule type="expression" dxfId="0" priority="33">
      <formula>MOD(ROW(),2)=1</formula>
    </cfRule>
  </conditionalFormatting>
  <dataValidations count="4">
    <dataValidation allowBlank="1" showInputMessage="1" showErrorMessage="1" sqref="C3:AJ3 A4:C1048576 C1:G2 AK4:XFD1048576"/>
    <dataValidation type="list" allowBlank="1" showInputMessage="1" showErrorMessage="1" sqref="D4:D1048576">
      <formula1>$AL$4:$AL$65536</formula1>
    </dataValidation>
    <dataValidation type="list" allowBlank="1" showInputMessage="1" showErrorMessage="1" sqref="E4:E1048576">
      <formula1>"1月,2月,3月,4月,5月,6月,7月,8月,9月,10月,11月,12月"</formula1>
    </dataValidation>
    <dataValidation type="list" allowBlank="1" showInputMessage="1" showErrorMessage="1" sqref="F4:AJ1048576">
      <formula1>"出勤,缺勤,请假"</formula1>
    </dataValidation>
  </dataValidations>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B1:F12"/>
  <sheetViews>
    <sheetView showGridLines="0" workbookViewId="0">
      <selection activeCell="D6" sqref="D6"/>
    </sheetView>
  </sheetViews>
  <sheetFormatPr defaultColWidth="9" defaultRowHeight="20.1" customHeight="1" outlineLevelCol="5"/>
  <cols>
    <col min="1" max="1" width="3.625" style="3" customWidth="1"/>
    <col min="2" max="2" width="3.625" style="3" hidden="1" customWidth="1"/>
    <col min="3" max="6" width="20.375" style="3" customWidth="1"/>
    <col min="7" max="16384" width="9" style="3"/>
  </cols>
  <sheetData>
    <row r="1" s="1" customFormat="1" ht="50.1" customHeight="1" spans="2:6">
      <c r="C1" s="3"/>
      <c r="D1" s="3"/>
      <c r="E1" s="3"/>
      <c r="F1" s="3"/>
    </row>
    <row r="2" s="1" customFormat="1" ht="39.95" customHeight="1" spans="2:6">
      <c r="C2" s="4" t="s">
        <v>319</v>
      </c>
      <c r="D2" s="3"/>
      <c r="E2" s="3"/>
      <c r="F2" s="3"/>
    </row>
    <row r="3" s="2" customFormat="1" ht="30" customHeight="1" spans="2:6">
      <c r="C3" s="5" t="s">
        <v>209</v>
      </c>
      <c r="D3" s="5" t="s">
        <v>320</v>
      </c>
      <c r="E3" s="5" t="s">
        <v>234</v>
      </c>
      <c r="F3" s="5" t="s">
        <v>321</v>
      </c>
    </row>
    <row r="4" customHeight="1" spans="2:6">
      <c r="B4" s="3">
        <v>4</v>
      </c>
      <c r="C4" s="3" t="s">
        <v>152</v>
      </c>
      <c r="D4" s="3" t="s">
        <v>90</v>
      </c>
      <c r="E4" s="6">
        <v>44811</v>
      </c>
      <c r="F4" s="3" t="s">
        <v>322</v>
      </c>
    </row>
    <row r="5" customHeight="1" spans="2:6">
      <c r="B5" s="3">
        <v>6</v>
      </c>
      <c r="C5" s="3" t="s">
        <v>180</v>
      </c>
      <c r="D5" s="3" t="s">
        <v>102</v>
      </c>
      <c r="E5" s="6">
        <v>44817</v>
      </c>
      <c r="F5" s="3" t="s">
        <v>323</v>
      </c>
    </row>
    <row r="6" customHeight="1" spans="2:6">
      <c r="B6" s="3">
        <v>12</v>
      </c>
      <c r="C6" s="3" t="s">
        <v>242</v>
      </c>
      <c r="D6" s="3" t="s">
        <v>324</v>
      </c>
      <c r="E6" s="6">
        <v>44869</v>
      </c>
      <c r="F6" s="3" t="s">
        <v>325</v>
      </c>
    </row>
    <row r="7" customHeight="1" spans="2:6">
      <c r="B7" s="3">
        <v>29</v>
      </c>
      <c r="C7" s="3" t="s">
        <v>114</v>
      </c>
      <c r="D7" s="3" t="s">
        <v>90</v>
      </c>
      <c r="E7" s="6">
        <v>45194</v>
      </c>
      <c r="F7" s="3" t="s">
        <v>326</v>
      </c>
    </row>
    <row r="8" customHeight="1" spans="2:6">
      <c r="B8" s="3">
        <v>33</v>
      </c>
      <c r="C8" s="3" t="s">
        <v>120</v>
      </c>
      <c r="D8" s="3" t="s">
        <v>113</v>
      </c>
      <c r="E8" s="6">
        <v>45215</v>
      </c>
      <c r="F8" s="3" t="s">
        <v>326</v>
      </c>
    </row>
    <row r="9" customHeight="1" spans="2:6">
      <c r="B9" s="3">
        <v>43</v>
      </c>
      <c r="C9" s="3" t="s">
        <v>132</v>
      </c>
      <c r="D9" s="3" t="s">
        <v>128</v>
      </c>
      <c r="E9" s="6">
        <v>45672</v>
      </c>
      <c r="F9" s="3" t="s">
        <v>322</v>
      </c>
    </row>
    <row r="10" customHeight="1" spans="2:6">
      <c r="B10" s="3">
        <v>45</v>
      </c>
      <c r="C10" s="3" t="s">
        <v>327</v>
      </c>
      <c r="D10" s="3" t="s">
        <v>90</v>
      </c>
      <c r="E10" s="6">
        <v>45663</v>
      </c>
      <c r="F10" s="3" t="s">
        <v>326</v>
      </c>
    </row>
    <row r="11" customHeight="1" spans="2:6">
      <c r="B11" s="3">
        <v>47</v>
      </c>
      <c r="C11" s="3" t="s">
        <v>91</v>
      </c>
      <c r="D11" s="3" t="s">
        <v>90</v>
      </c>
      <c r="E11" s="6">
        <v>45663</v>
      </c>
      <c r="F11" s="3" t="s">
        <v>326</v>
      </c>
    </row>
    <row r="12" customHeight="1" spans="2:6">
      <c r="E12" s="6"/>
    </row>
  </sheetData>
  <conditionalFormatting sqref="F4:F1048576">
    <cfRule type="expression" dxfId="0" priority="32">
      <formula>MOD(ROW(),2)=1</formula>
    </cfRule>
  </conditionalFormatting>
  <conditionalFormatting sqref="C4:E1048576">
    <cfRule type="expression" dxfId="0" priority="33">
      <formula>MOD(ROW(),2)=1</formula>
    </cfRule>
  </conditionalFormatting>
  <dataValidations count="3">
    <dataValidation type="list" allowBlank="1" showInputMessage="1" showErrorMessage="1" sqref="C4:C1048576">
      <formula1>设置!$D$4:$D$65536</formula1>
    </dataValidation>
    <dataValidation type="list" allowBlank="1" showInputMessage="1" showErrorMessage="1" sqref="D4:D1048576">
      <formula1>设置!$C$4:$C$65536</formula1>
    </dataValidation>
    <dataValidation allowBlank="1" showInputMessage="1" showErrorMessage="1" sqref="A4:B1048576 C1:F3 E4:XFD1048576"/>
  </dataValidations>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5" master="" otherUserPermission="visible"/>
  <rangeList sheetStid="6" master="" otherUserPermission="visible"/>
  <rangeList sheetStid="7" master="" otherUserPermission="visible"/>
  <rangeList sheetStid="8" master="" otherUserPermission="visible"/>
  <rangeList sheetStid="9" master="" otherUserPermission="visible"/>
  <rangeList sheetStid="17" master="" otherUserPermission="visible"/>
  <rangeList sheetStid="10" master="" otherUserPermission="visible"/>
  <rangeList sheetStid="11" master="" otherUserPermission="visible"/>
  <rangeList sheetStid="12" master="" otherUserPermission="visible"/>
  <rangeList sheetStid="13" master="" otherUserPermission="visible"/>
  <rangeList sheetStid="14" master="" otherUserPermission="visible"/>
  <rangeList sheetStid="15" master="" otherUserPermission="visible"/>
  <rangeList sheetStid="16"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Sheet3</vt:lpstr>
      <vt:lpstr>用户管理</vt:lpstr>
      <vt:lpstr>权限管理</vt:lpstr>
      <vt:lpstr>设置</vt:lpstr>
      <vt:lpstr>学生信息</vt:lpstr>
      <vt:lpstr>教师信息</vt:lpstr>
      <vt:lpstr>缴费记录</vt:lpstr>
      <vt:lpstr>打印单据</vt:lpstr>
      <vt:lpstr>课时统计</vt:lpstr>
      <vt:lpstr>收支明细</vt:lpstr>
      <vt:lpstr>欠费学员</vt:lpstr>
      <vt:lpstr>教师工资</vt:lpstr>
      <vt:lpstr>教师课时统计</vt:lpstr>
      <vt:lpstr>考勤表</vt:lpstr>
      <vt:lpstr>教师课表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YH309</cp:lastModifiedBy>
  <dcterms:created xsi:type="dcterms:W3CDTF">2021-02-01T06:30:00Z</dcterms:created>
  <dcterms:modified xsi:type="dcterms:W3CDTF">2026-03-13T02:55:30Z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y fmtid="{D5CDD505-2E9C-101B-9397-08002B2CF9AE}" pid="5" name="CalculationRule">
    <vt:i4>0</vt:i4>
  </property>
</Properties>
</file>
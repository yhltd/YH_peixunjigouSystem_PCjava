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815" windowHeight="7860" tabRatio="932"/>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缴费记录!$C$4:$D$17</definedName>
  </definedNames>
  <calcPr calcId="144525"/>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<sst xmlns="http://schemas.openxmlformats.org/spreadsheetml/2006/main" count="627" uniqueCount="233">
  <si>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</si>
  <si>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</si>
  <si>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</si>
  <si>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</si>
  <si>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</si>
  <si>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</si>
  <si>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</si>
  <si>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</si>
  <si>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</si>
  <si>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</si>
  <si>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重庆旭森教育科技有限公司</t>
  </si>
  <si>
    <t xml:space="preserve">正常 </t>
  </si>
  <si>
    <t>学生信息</t>
  </si>
  <si>
    <t>√</t>
  </si>
  <si>
    <t>教师信息</t>
  </si>
  <si>
    <t>权限管理</t>
  </si>
  <si>
    <t>用户管理</t>
  </si>
  <si>
    <t>缴费记录</t>
  </si>
  <si>
    <t>课时统计</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</si>
  <si>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</si>
  <si>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</si>
  <si>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</si>
  <si>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</si>
  <si>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</si>
  <si>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</si>
  <si>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</si>
  <si>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</si>
  <si>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</si>
  <si>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</si>
  <si>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</si>
  <si>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</si>
  <si>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</si>
  <si>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</si>
  <si>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</si>
  <si>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</si>
  <si>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</si>
  <si>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</si>
  <si>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林玟书</t>
  </si>
  <si>
    <t xml:space="preserve">大连 </t>
  </si>
  <si>
    <t>222211188880909123</t>
  </si>
  <si>
    <t xml:space="preserve">研究生 </t>
  </si>
  <si>
    <t>lixueqin</t>
  </si>
  <si>
    <t>李学琴</t>
  </si>
  <si>
    <t xml:space="preserve">大连  </t>
  </si>
  <si>
    <t>222233188880909081</t>
  </si>
  <si>
    <t xml:space="preserve">初中  </t>
  </si>
  <si>
    <t xml:space="preserve">正常  </t>
  </si>
  <si>
    <t>ws123</t>
  </si>
  <si>
    <t>吴思</t>
  </si>
  <si>
    <t>北京</t>
  </si>
  <si>
    <t>222233198902808231</t>
  </si>
  <si>
    <t>whz123</t>
  </si>
  <si>
    <t>翁惠珠</t>
  </si>
  <si>
    <t>上海</t>
  </si>
  <si>
    <t>211203198767378711</t>
  </si>
  <si>
    <t>lhx123</t>
  </si>
  <si>
    <t>阮墼学</t>
  </si>
  <si>
    <t>203333187914241141</t>
  </si>
  <si>
    <t>czq123</t>
  </si>
  <si>
    <t>陈政倩</t>
  </si>
  <si>
    <t>211203199914125671</t>
  </si>
  <si>
    <t>▌ 权限管理</t>
  </si>
  <si>
    <t>姓名</t>
  </si>
  <si>
    <t>页面名称</t>
  </si>
  <si>
    <t>增</t>
  </si>
  <si>
    <t>删</t>
  </si>
  <si>
    <t>改</t>
  </si>
  <si>
    <t>查</t>
  </si>
  <si>
    <t>▌ 设置</t>
  </si>
  <si>
    <t>课程列表</t>
  </si>
  <si>
    <t>责任教师</t>
  </si>
  <si>
    <t>状态设定</t>
  </si>
  <si>
    <t>缴费方式</t>
  </si>
  <si>
    <t>收入分类</t>
  </si>
  <si>
    <t>支出分类</t>
  </si>
  <si>
    <t>作文写作</t>
  </si>
  <si>
    <t>张吉惟</t>
  </si>
  <si>
    <t>意向预定</t>
  </si>
  <si>
    <t xml:space="preserve">刷卡 </t>
  </si>
  <si>
    <t xml:space="preserve">周边售卖 </t>
  </si>
  <si>
    <t xml:space="preserve">宣传支出 </t>
  </si>
  <si>
    <t>口才演讲</t>
  </si>
  <si>
    <t>林国瑞</t>
  </si>
  <si>
    <t>在训</t>
  </si>
  <si>
    <t xml:space="preserve">转账 </t>
  </si>
  <si>
    <t xml:space="preserve">学费 </t>
  </si>
  <si>
    <t xml:space="preserve">场地租金 </t>
  </si>
  <si>
    <t>健身</t>
  </si>
  <si>
    <t>暂停</t>
  </si>
  <si>
    <t xml:space="preserve">支付宝 </t>
  </si>
  <si>
    <t xml:space="preserve">教材 </t>
  </si>
  <si>
    <t xml:space="preserve">水电费 </t>
  </si>
  <si>
    <t>跆拳道</t>
  </si>
  <si>
    <t>林雅南</t>
  </si>
  <si>
    <t>结课</t>
  </si>
  <si>
    <t xml:space="preserve">微信 </t>
  </si>
  <si>
    <t xml:space="preserve">其他收入 </t>
  </si>
  <si>
    <t xml:space="preserve">教师工资 </t>
  </si>
  <si>
    <t>java</t>
  </si>
  <si>
    <t>刘鑫</t>
  </si>
  <si>
    <t>转学</t>
  </si>
  <si>
    <t>现金</t>
  </si>
  <si>
    <t>学费收入</t>
  </si>
  <si>
    <t>书本支出</t>
  </si>
  <si>
    <t>▌ 学生信息</t>
  </si>
  <si>
    <t>性别</t>
  </si>
  <si>
    <t>报名日期</t>
  </si>
  <si>
    <t>培训课程</t>
  </si>
  <si>
    <t>班级</t>
  </si>
  <si>
    <t>学费</t>
  </si>
  <si>
    <t>已缴费</t>
  </si>
  <si>
    <t>未交费</t>
  </si>
  <si>
    <t>已上课时</t>
  </si>
  <si>
    <t>剩余课时</t>
  </si>
  <si>
    <t>总课时</t>
  </si>
  <si>
    <t>王柳</t>
  </si>
  <si>
    <t>女</t>
  </si>
  <si>
    <t>陈二</t>
  </si>
  <si>
    <t>口才班</t>
  </si>
  <si>
    <t>123456789</t>
  </si>
  <si>
    <t>王瑞</t>
  </si>
  <si>
    <t>音乐</t>
  </si>
  <si>
    <t>琪一</t>
  </si>
  <si>
    <t>音乐班</t>
  </si>
  <si>
    <t>13225112512</t>
  </si>
  <si>
    <t>在校</t>
  </si>
  <si>
    <t>王月</t>
  </si>
  <si>
    <t>男</t>
  </si>
  <si>
    <t>112131321</t>
  </si>
  <si>
    <t>孙玉</t>
  </si>
  <si>
    <t>12132412</t>
  </si>
  <si>
    <t>结束</t>
  </si>
  <si>
    <t>刘飞</t>
  </si>
  <si>
    <t>131245125345</t>
  </si>
  <si>
    <t>刘月</t>
  </si>
  <si>
    <t>一班</t>
  </si>
  <si>
    <t>133333333333</t>
  </si>
  <si>
    <t>▌ 教师信息</t>
  </si>
  <si>
    <t>教师姓名</t>
  </si>
  <si>
    <t>民族</t>
  </si>
  <si>
    <t>生日</t>
  </si>
  <si>
    <t>职位</t>
  </si>
  <si>
    <t>联系电话</t>
  </si>
  <si>
    <t>入职日期</t>
  </si>
  <si>
    <t>在职状态</t>
  </si>
  <si>
    <t>社保情况</t>
  </si>
  <si>
    <t>地址</t>
  </si>
  <si>
    <t>王美珠</t>
  </si>
  <si>
    <t>汉</t>
  </si>
  <si>
    <t>教导主任</t>
  </si>
  <si>
    <t>本科</t>
  </si>
  <si>
    <t>离职</t>
  </si>
  <si>
    <t>正常缴纳</t>
  </si>
  <si>
    <t>大连</t>
  </si>
  <si>
    <t>杨佩芳</t>
  </si>
  <si>
    <t>教师</t>
  </si>
  <si>
    <t>在职</t>
  </si>
  <si>
    <t>倪怡芳</t>
  </si>
  <si>
    <t>李育泉</t>
  </si>
  <si>
    <t>黄丽昆</t>
  </si>
  <si>
    <t>吴韵如</t>
  </si>
  <si>
    <t>李肇芬</t>
  </si>
  <si>
    <t>211203199901020423</t>
  </si>
  <si>
    <t>▌ 缴费记录</t>
  </si>
  <si>
    <t>日期</t>
  </si>
  <si>
    <t>学生姓名</t>
  </si>
  <si>
    <t>定金金额</t>
  </si>
  <si>
    <t>学费金额</t>
  </si>
  <si>
    <t>收费人</t>
  </si>
  <si>
    <t>备注</t>
  </si>
  <si>
    <t>刷卡</t>
  </si>
  <si>
    <t>全款已付</t>
  </si>
  <si>
    <t>转账</t>
  </si>
  <si>
    <t>赵栓柱</t>
  </si>
  <si>
    <t>微信</t>
  </si>
  <si>
    <t>校长</t>
  </si>
  <si>
    <t>支付宝</t>
  </si>
  <si>
    <t xml:space="preserve">刘飞	</t>
  </si>
  <si>
    <t>▌ 打印单据</t>
  </si>
  <si>
    <t>▌ 课时统计</t>
  </si>
  <si>
    <t>课时</t>
  </si>
  <si>
    <t>每节课时金额</t>
  </si>
  <si>
    <t>吉他</t>
  </si>
  <si>
    <t>▌ 收支明细</t>
  </si>
  <si>
    <t>收入</t>
  </si>
  <si>
    <t>支出</t>
  </si>
  <si>
    <t>经手人</t>
  </si>
  <si>
    <t>金额</t>
  </si>
  <si>
    <t>分类</t>
  </si>
  <si>
    <t>当日金额统计</t>
  </si>
  <si>
    <t>现金收款</t>
  </si>
  <si>
    <t>现金付款</t>
  </si>
  <si>
    <t>当月金额统计</t>
  </si>
  <si>
    <t>教材</t>
  </si>
  <si>
    <t>微信收款</t>
  </si>
  <si>
    <t>水电费</t>
  </si>
  <si>
    <t>银行转账</t>
  </si>
  <si>
    <t>累计收入</t>
  </si>
  <si>
    <t>微信支付</t>
  </si>
  <si>
    <t>累计支出</t>
  </si>
  <si>
    <t>周边售卖</t>
  </si>
  <si>
    <t>累计结余</t>
  </si>
  <si>
    <t>▌ 欠费学员</t>
  </si>
  <si>
    <t>欠费金额</t>
  </si>
  <si>
    <t>报名时间</t>
  </si>
  <si>
    <t>李四</t>
  </si>
  <si>
    <t>声乐</t>
  </si>
  <si>
    <t>张三</t>
  </si>
  <si>
    <t>三班</t>
  </si>
  <si>
    <t>王五</t>
  </si>
  <si>
    <t>▌ 教师工资</t>
  </si>
  <si>
    <t>课程名称</t>
  </si>
  <si>
    <t>上课课时</t>
  </si>
  <si>
    <t>每节金额</t>
  </si>
  <si>
    <t>工资核算</t>
  </si>
  <si>
    <t>▌ 教师课时统计</t>
  </si>
  <si>
    <t>▌ 考勤表</t>
  </si>
  <si>
    <t>年</t>
  </si>
  <si>
    <t>月</t>
  </si>
  <si>
    <t>9月</t>
  </si>
  <si>
    <t>出勤</t>
  </si>
  <si>
    <t>王麻子</t>
  </si>
  <si>
    <t>1月</t>
  </si>
  <si>
    <t>▌ 教师课表</t>
  </si>
  <si>
    <t>课程</t>
  </si>
  <si>
    <t>星期</t>
  </si>
  <si>
    <t>星期三</t>
  </si>
  <si>
    <t>星期日</t>
  </si>
  <si>
    <t>星期二</t>
  </si>
  <si>
    <t>测试课程1</t>
  </si>
  <si>
    <t>星期五</t>
  </si>
  <si>
    <t>书法</t>
  </si>
  <si>
    <t>星期一</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</si>
</sst>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yyyy/m/d;@"/>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29096346934"/>
      <name val="微软雅黑"/>
      <charset val="134"/>
    </font>
    <font>
      <b/>
      <sz val="9"/>
      <name val="宋体"/>
      <charset val="134"/>
    </font>
    <font>
      <sz val="9"/>
      <name val="宋体"/>
      <charset val="134"/>
    </font>
    <font>
      <sz val="10"/>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6" fillId="0" borderId="0" applyFont="0" applyFill="0" applyBorder="0" applyAlignment="0" applyProtection="0">
      <alignment vertical="center"/>
    </xf>
    <xf numFmtId="0" fontId="19" fillId="9" borderId="0" applyNumberFormat="0" applyBorder="0" applyAlignment="0" applyProtection="0">
      <alignment vertical="center"/>
    </xf>
    <xf numFmtId="0" fontId="20" fillId="10" borderId="5"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19" fillId="11" borderId="0" applyNumberFormat="0" applyBorder="0" applyAlignment="0" applyProtection="0">
      <alignment vertical="center"/>
    </xf>
    <xf numFmtId="0" fontId="21" fillId="12" borderId="0" applyNumberFormat="0" applyBorder="0" applyAlignment="0" applyProtection="0">
      <alignment vertical="center"/>
    </xf>
    <xf numFmtId="43" fontId="6" fillId="0" borderId="0" applyFont="0" applyFill="0" applyBorder="0" applyAlignment="0" applyProtection="0">
      <alignment vertical="center"/>
    </xf>
    <xf numFmtId="0" fontId="22" fillId="13" borderId="0" applyNumberFormat="0" applyBorder="0" applyAlignment="0" applyProtection="0">
      <alignment vertical="center"/>
    </xf>
    <xf numFmtId="0" fontId="23" fillId="0" borderId="0" applyNumberFormat="0" applyFill="0" applyBorder="0" applyAlignment="0" applyProtection="0">
      <alignment vertical="center"/>
    </xf>
    <xf numFmtId="9" fontId="6" fillId="0" borderId="0" applyFont="0" applyFill="0" applyBorder="0" applyAlignment="0" applyProtection="0">
      <alignment vertical="center"/>
    </xf>
    <xf numFmtId="0" fontId="24" fillId="0" borderId="0" applyNumberFormat="0" applyFill="0" applyBorder="0" applyAlignment="0" applyProtection="0">
      <alignment vertical="center"/>
    </xf>
    <xf numFmtId="0" fontId="6" fillId="14" borderId="6" applyNumberFormat="0" applyFont="0" applyAlignment="0" applyProtection="0">
      <alignment vertical="center"/>
    </xf>
    <xf numFmtId="0" fontId="22" fillId="15"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7" applyNumberFormat="0" applyFill="0" applyAlignment="0" applyProtection="0">
      <alignment vertical="center"/>
    </xf>
    <xf numFmtId="0" fontId="30" fillId="0" borderId="7" applyNumberFormat="0" applyFill="0" applyAlignment="0" applyProtection="0">
      <alignment vertical="center"/>
    </xf>
    <xf numFmtId="0" fontId="22" fillId="16" borderId="0" applyNumberFormat="0" applyBorder="0" applyAlignment="0" applyProtection="0">
      <alignment vertical="center"/>
    </xf>
    <xf numFmtId="0" fontId="25" fillId="0" borderId="8" applyNumberFormat="0" applyFill="0" applyAlignment="0" applyProtection="0">
      <alignment vertical="center"/>
    </xf>
    <xf numFmtId="0" fontId="22" fillId="17" borderId="0" applyNumberFormat="0" applyBorder="0" applyAlignment="0" applyProtection="0">
      <alignment vertical="center"/>
    </xf>
    <xf numFmtId="0" fontId="31" fillId="18" borderId="9" applyNumberFormat="0" applyAlignment="0" applyProtection="0">
      <alignment vertical="center"/>
    </xf>
    <xf numFmtId="0" fontId="32" fillId="18" borderId="5" applyNumberFormat="0" applyAlignment="0" applyProtection="0">
      <alignment vertical="center"/>
    </xf>
    <xf numFmtId="0" fontId="33" fillId="19" borderId="10" applyNumberFormat="0" applyAlignment="0" applyProtection="0">
      <alignment vertical="center"/>
    </xf>
    <xf numFmtId="0" fontId="19" fillId="20" borderId="0" applyNumberFormat="0" applyBorder="0" applyAlignment="0" applyProtection="0">
      <alignment vertical="center"/>
    </xf>
    <xf numFmtId="0" fontId="22" fillId="21" borderId="0" applyNumberFormat="0" applyBorder="0" applyAlignment="0" applyProtection="0">
      <alignment vertical="center"/>
    </xf>
    <xf numFmtId="0" fontId="34" fillId="0" borderId="11" applyNumberFormat="0" applyFill="0" applyAlignment="0" applyProtection="0">
      <alignment vertical="center"/>
    </xf>
    <xf numFmtId="0" fontId="35" fillId="0" borderId="12" applyNumberFormat="0" applyFill="0" applyAlignment="0" applyProtection="0">
      <alignment vertical="center"/>
    </xf>
    <xf numFmtId="0" fontId="36" fillId="22" borderId="0" applyNumberFormat="0" applyBorder="0" applyAlignment="0" applyProtection="0">
      <alignment vertical="center"/>
    </xf>
    <xf numFmtId="0" fontId="37" fillId="23" borderId="0" applyNumberFormat="0" applyBorder="0" applyAlignment="0" applyProtection="0">
      <alignment vertical="center"/>
    </xf>
    <xf numFmtId="0" fontId="19" fillId="24" borderId="0" applyNumberFormat="0" applyBorder="0" applyAlignment="0" applyProtection="0">
      <alignment vertical="center"/>
    </xf>
    <xf numFmtId="0" fontId="22" fillId="25" borderId="0" applyNumberFormat="0" applyBorder="0" applyAlignment="0" applyProtection="0">
      <alignment vertical="center"/>
    </xf>
    <xf numFmtId="0" fontId="19" fillId="26" borderId="0" applyNumberFormat="0" applyBorder="0" applyAlignment="0" applyProtection="0">
      <alignment vertical="center"/>
    </xf>
    <xf numFmtId="0" fontId="19" fillId="8" borderId="0" applyNumberFormat="0" applyBorder="0" applyAlignment="0" applyProtection="0">
      <alignment vertical="center"/>
    </xf>
    <xf numFmtId="0" fontId="19" fillId="27" borderId="0" applyNumberFormat="0" applyBorder="0" applyAlignment="0" applyProtection="0">
      <alignment vertical="center"/>
    </xf>
    <xf numFmtId="0" fontId="19"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19" fillId="31" borderId="0" applyNumberFormat="0" applyBorder="0" applyAlignment="0" applyProtection="0">
      <alignment vertical="center"/>
    </xf>
    <xf numFmtId="0" fontId="19" fillId="32" borderId="0" applyNumberFormat="0" applyBorder="0" applyAlignment="0" applyProtection="0">
      <alignment vertical="center"/>
    </xf>
    <xf numFmtId="0" fontId="22" fillId="33" borderId="0" applyNumberFormat="0" applyBorder="0" applyAlignment="0" applyProtection="0">
      <alignment vertical="center"/>
    </xf>
    <xf numFmtId="0" fontId="19" fillId="34" borderId="0" applyNumberFormat="0" applyBorder="0" applyAlignment="0" applyProtection="0">
      <alignment vertical="center"/>
    </xf>
    <xf numFmtId="0" fontId="22" fillId="35" borderId="0" applyNumberFormat="0" applyBorder="0" applyAlignment="0" applyProtection="0">
      <alignment vertical="center"/>
    </xf>
    <xf numFmtId="0" fontId="22" fillId="36" borderId="0" applyNumberFormat="0" applyBorder="0" applyAlignment="0" applyProtection="0">
      <alignment vertical="center"/>
    </xf>
    <xf numFmtId="0" fontId="19" fillId="37" borderId="0" applyNumberFormat="0" applyBorder="0" applyAlignment="0" applyProtection="0">
      <alignment vertical="center"/>
    </xf>
    <xf numFmtId="0" fontId="22" fillId="38" borderId="0" applyNumberFormat="0" applyBorder="0" applyAlignment="0" applyProtection="0">
      <alignment vertical="center"/>
    </xf>
  </cellStyleXfs>
  <cellXfs count="45">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7" fontId="1" fillId="0" borderId="0" xfId="0" applyNumberFormat="1" applyFont="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7" fontId="2" fillId="0" borderId="3" xfId="0" applyNumberFormat="1" applyFont="1" applyBorder="1" applyAlignment="1">
      <alignment horizontal="center" vertical="center"/>
    </xf>
    <xf numFmtId="177"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49" fontId="1" fillId="0" borderId="0" xfId="0" applyNumberFormat="1" applyFont="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6"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49" fontId="5" fillId="3" borderId="0" xfId="0" applyNumberFormat="1" applyFont="1" applyFill="1" applyAlignment="1" applyProtection="1">
      <alignment horizontal="left" vertical="center"/>
    </xf>
    <xf numFmtId="0" fontId="2" fillId="8" borderId="0" xfId="0" applyFont="1" applyFill="1" applyAlignment="1">
      <alignment vertical="center"/>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13500</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14400</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-900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培训管理系统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158750</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612775</xdr:colOff>
      <xdr:row>0</xdr:row>
      <xdr:rowOff>0</xdr:rowOff>
    </xdr:from>
    <xdr:to>
      <xdr:col>6</xdr:col>
      <xdr:colOff>503555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957580</xdr:colOff>
      <xdr:row>0</xdr:row>
      <xdr:rowOff>0</xdr:rowOff>
    </xdr:from>
    <xdr:to>
      <xdr:col>7</xdr:col>
      <xdr:colOff>848360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1112520</xdr:colOff>
      <xdr:row>0</xdr:row>
      <xdr:rowOff>0</xdr:rowOff>
    </xdr:from>
    <xdr:to>
      <xdr:col>4</xdr:col>
      <xdr:colOff>244475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1112520</xdr:colOff>
      <xdr:row>0</xdr:row>
      <xdr:rowOff>0</xdr:rowOff>
    </xdr:from>
    <xdr:to>
      <xdr:col>4</xdr:col>
      <xdr:colOff>244475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A3" workbookViewId="0">
      <selection activeCell="N9" sqref="N9"/>
    </sheetView>
  </sheetViews>
  <sheetFormatPr defaultColWidth="3.625" defaultRowHeight="17.1" customHeight="1"/>
  <cols>
    <col min="1" max="1" width="3.625" style="38" customWidth="1"/>
    <col min="2" max="16384" width="3.625" style="38"/>
  </cols>
  <sheetData>
    <row r="4" customHeight="1" spans="1:42">
      <c r="A4" s="39"/>
      <c r="B4" s="39"/>
      <c r="C4" s="39"/>
      <c r="D4" s="39"/>
      <c r="E4" s="39"/>
      <c r="F4" s="39"/>
      <c r="G4" s="39"/>
      <c r="H4" s="39"/>
      <c r="I4" s="39"/>
      <c r="J4" s="39"/>
      <c r="K4" s="39"/>
      <c r="L4" s="39"/>
      <c r="M4" s="39"/>
      <c r="N4" s="39"/>
      <c r="O4" s="39"/>
      <c r="P4" s="39"/>
      <c r="Q4" s="39"/>
      <c r="R4" s="39"/>
      <c r="S4" s="39"/>
      <c r="T4" s="39"/>
      <c r="U4" s="39"/>
      <c r="V4" s="39"/>
      <c r="W4" s="39"/>
      <c r="X4" s="39"/>
      <c r="Y4" s="39"/>
      <c r="Z4" s="39"/>
      <c r="AA4" s="39"/>
      <c r="AB4" s="39"/>
      <c r="AC4" s="39"/>
      <c r="AD4" s="39"/>
      <c r="AE4" s="39"/>
      <c r="AF4" s="39"/>
      <c r="AG4" s="39"/>
      <c r="AH4" s="39"/>
      <c r="AI4" s="39"/>
      <c r="AJ4" s="39"/>
      <c r="AK4" s="39"/>
      <c r="AL4" s="39"/>
      <c r="AM4" s="39"/>
      <c r="AN4" s="39"/>
      <c r="AO4" s="39"/>
      <c r="AP4" s="39"/>
    </row>
    <row r="5" customHeight="1" spans="1:42">
      <c r="A5" s="39"/>
      <c r="B5" s="39"/>
      <c r="C5" s="39"/>
      <c r="D5" s="39"/>
      <c r="E5" s="39"/>
      <c r="F5" s="39"/>
      <c r="G5" s="39"/>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39"/>
    </row>
    <row r="6" customHeight="1" spans="1:42">
      <c r="A6" s="40"/>
      <c r="B6" s="40"/>
      <c r="C6" s="40"/>
      <c r="D6" s="40"/>
      <c r="E6" s="40"/>
      <c r="F6" s="40"/>
      <c r="G6" s="40"/>
      <c r="H6" s="41"/>
      <c r="I6" s="41"/>
      <c r="J6" s="41"/>
      <c r="K6" s="41"/>
      <c r="L6" s="41"/>
      <c r="M6" s="41"/>
      <c r="N6" s="41"/>
      <c r="O6" s="41"/>
      <c r="P6" s="41"/>
      <c r="Q6" s="41"/>
      <c r="R6" s="40"/>
      <c r="S6" s="40"/>
      <c r="T6" s="40"/>
      <c r="U6" s="40"/>
      <c r="V6" s="40"/>
      <c r="W6" s="40"/>
      <c r="X6" s="40"/>
      <c r="Y6" s="40"/>
      <c r="Z6" s="40"/>
      <c r="AA6" s="40"/>
      <c r="AB6" s="40"/>
      <c r="AC6" s="40"/>
      <c r="AD6" s="40"/>
      <c r="AE6" s="40"/>
      <c r="AF6" s="40"/>
      <c r="AG6" s="40"/>
      <c r="AH6" s="40"/>
      <c r="AI6" s="40"/>
      <c r="AJ6" s="40"/>
      <c r="AK6" s="40"/>
      <c r="AL6" s="40"/>
      <c r="AM6" s="40"/>
      <c r="AN6" s="40"/>
      <c r="AO6" s="40"/>
      <c r="AP6" s="40"/>
    </row>
    <row r="7" customHeight="1" spans="5:23">
      <c r="E7" s="42"/>
      <c r="F7" s="42"/>
      <c r="G7" s="42"/>
      <c r="H7" s="43"/>
      <c r="I7" s="43"/>
      <c r="J7" s="43"/>
      <c r="K7" s="43"/>
      <c r="L7" s="43"/>
      <c r="M7" s="43"/>
      <c r="N7" s="44"/>
      <c r="O7" s="44"/>
      <c r="P7" s="44"/>
      <c r="Q7" s="44"/>
      <c r="T7" s="44"/>
      <c r="U7" s="44"/>
      <c r="V7" s="44"/>
      <c r="W7" s="44"/>
    </row>
    <row r="8" customHeight="1" spans="8:23">
      <c r="H8" s="44"/>
      <c r="I8" s="44"/>
      <c r="J8" s="44"/>
      <c r="K8" s="44"/>
      <c r="L8" s="44"/>
      <c r="M8" s="44"/>
      <c r="N8" s="44"/>
      <c r="O8" s="44"/>
      <c r="P8" s="44"/>
      <c r="Q8" s="44"/>
      <c r="T8" s="44"/>
      <c r="U8" s="44"/>
      <c r="V8" s="44"/>
      <c r="W8" s="44"/>
    </row>
    <row r="9" customHeight="1" spans="8:23">
      <c r="H9" s="44"/>
      <c r="I9" s="44"/>
      <c r="J9" s="44"/>
      <c r="K9" s="44"/>
      <c r="L9" s="44"/>
      <c r="M9" s="44"/>
      <c r="N9" s="44"/>
      <c r="O9" s="44"/>
      <c r="P9" s="44"/>
      <c r="Q9" s="44"/>
      <c r="R9" s="44"/>
      <c r="S9" s="44"/>
      <c r="T9" s="44"/>
      <c r="U9" s="44"/>
      <c r="V9" s="44"/>
      <c r="W9" s="44"/>
    </row>
    <row r="10" customHeight="1" spans="17:23">
      <c r="Q10" s="44"/>
      <c r="R10" s="44"/>
      <c r="S10" s="44"/>
      <c r="T10" s="44"/>
      <c r="U10" s="44"/>
      <c r="V10" s="44"/>
      <c r="W10" s="44"/>
    </row>
    <row r="11" customHeight="1" spans="17:23">
      <c r="Q11" s="44"/>
      <c r="R11" s="44"/>
      <c r="S11" s="44"/>
      <c r="T11" s="44"/>
      <c r="U11" s="44"/>
      <c r="V11" s="44"/>
      <c r="W11" s="44"/>
    </row>
    <row r="12" customHeight="1" spans="17:23">
      <c r="Q12" s="44"/>
      <c r="R12" s="44"/>
      <c r="S12" s="44"/>
      <c r="T12" s="44"/>
      <c r="U12" s="44"/>
      <c r="V12" s="44"/>
      <c r="W12" s="44"/>
    </row>
    <row r="13" customHeight="1" spans="17:23">
      <c r="Q13" s="44"/>
      <c r="R13" s="44"/>
      <c r="S13" s="44"/>
      <c r="T13" s="44"/>
      <c r="U13" s="44"/>
      <c r="V13" s="44"/>
      <c r="W13" s="44"/>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9" sqref="N9"/>
    </sheetView>
  </sheetViews>
  <sheetFormatPr defaultColWidth="9" defaultRowHeight="21.95" customHeight="1"/>
  <cols>
    <col min="1" max="1" width="1.625" style="20" customWidth="1"/>
    <col min="2" max="2" width="2.625" style="21" customWidth="1"/>
    <col min="3" max="3" width="15.25" style="22" customWidth="1"/>
    <col min="4" max="4" width="19.125" style="23" customWidth="1"/>
    <col min="5" max="5" width="10.5" style="23" customWidth="1"/>
    <col min="6" max="8" width="24.625" style="23" customWidth="1"/>
    <col min="9" max="9" width="2.625" style="21" customWidth="1"/>
    <col min="10" max="10" width="4.25" style="20" customWidth="1"/>
    <col min="11" max="16384" width="9" style="20"/>
  </cols>
  <sheetData>
    <row r="1" s="18" customFormat="1" ht="54.95" customHeight="1" spans="1:10">
      <c r="A1" s="24"/>
      <c r="C1" s="25"/>
      <c r="J1" s="37"/>
    </row>
    <row r="2" ht="15.95" customHeight="1" spans="2:9">
      <c r="B2" s="20"/>
      <c r="C2" s="26"/>
      <c r="D2" s="20"/>
      <c r="E2" s="20"/>
      <c r="F2" s="20"/>
      <c r="G2" s="20"/>
      <c r="H2" s="20"/>
      <c r="I2" s="20"/>
    </row>
    <row r="3" ht="15.95" customHeight="1" spans="3:8">
      <c r="C3" s="27"/>
      <c r="D3" s="21"/>
      <c r="E3" s="21"/>
      <c r="F3" s="21"/>
      <c r="G3" s="21"/>
      <c r="H3" s="21"/>
    </row>
    <row r="4" ht="75.95" customHeight="1" spans="3:8">
      <c r="C4" s="28" t="s">
        <v>0</v>
      </c>
      <c r="D4" s="29"/>
      <c r="E4" s="29"/>
      <c r="F4" s="30">
        <f>D7</f>
        <v>1</v>
      </c>
      <c r="G4" s="31">
        <v>1</v>
      </c>
      <c r="H4" s="31"/>
    </row>
    <row r="5" ht="6" customHeight="1" spans="3:8">
      <c r="C5" s="32"/>
      <c r="D5" s="29"/>
      <c r="E5" s="29"/>
      <c r="F5" s="33"/>
      <c r="G5" s="33"/>
      <c r="H5" s="33"/>
    </row>
    <row r="6" s="19" customFormat="1" ht="9" customHeight="1" spans="2:9">
      <c r="B6" s="21"/>
      <c r="C6" s="34"/>
      <c r="D6" s="35"/>
      <c r="E6" s="35"/>
      <c r="F6" s="36"/>
      <c r="G6" s="36"/>
      <c r="H6" s="36"/>
      <c r="I6" s="21"/>
    </row>
    <row r="7" hidden="1" customHeight="1" spans="2:4">
      <c r="B7" s="21" t="s">
        <v>1</v>
      </c>
      <c r="D7" s="23">
        <v>1</v>
      </c>
    </row>
    <row r="8" customHeight="1" spans="3:4">
      <c r="C8" s="22" t="s">
        <v>2</v>
      </c>
      <c r="D8" s="23" t="s">
        <v>3</v>
      </c>
    </row>
    <row r="9" customHeight="1" spans="3:4">
      <c r="C9" s="22" t="s">
        <v>4</v>
      </c>
      <c r="D9" s="23" t="s">
        <v>3</v>
      </c>
    </row>
    <row r="10" customHeight="1" spans="3:4">
      <c r="C10" s="22" t="s">
        <v>5</v>
      </c>
      <c r="D10" s="23" t="s">
        <v>3</v>
      </c>
    </row>
    <row r="11" customHeight="1" spans="3:4">
      <c r="C11" s="22" t="s">
        <v>6</v>
      </c>
      <c r="D11" s="23" t="s">
        <v>3</v>
      </c>
    </row>
    <row r="12" customHeight="1" spans="3:4">
      <c r="C12" s="22" t="s">
        <v>7</v>
      </c>
      <c r="D12" s="23" t="s">
        <v>3</v>
      </c>
    </row>
    <row r="13" customHeight="1" spans="3:4">
      <c r="C13" s="22" t="s">
        <v>8</v>
      </c>
      <c r="D13" s="23" t="s">
        <v>3</v>
      </c>
    </row>
    <row r="18" hidden="1" customHeight="1" spans="3:4">
      <c r="C18" s="22" t="s">
        <v>2</v>
      </c>
      <c r="D18" s="23" t="s">
        <v>9</v>
      </c>
    </row>
    <row r="19" hidden="1" customHeight="1" spans="3:4">
      <c r="C19" s="22" t="s">
        <v>4</v>
      </c>
      <c r="D19" s="23" t="s">
        <v>9</v>
      </c>
    </row>
    <row r="20" hidden="1" customHeight="1" spans="3:4">
      <c r="C20" s="22" t="s">
        <v>5</v>
      </c>
      <c r="D20" s="23" t="s">
        <v>9</v>
      </c>
    </row>
    <row r="21" hidden="1" customHeight="1" spans="3:4">
      <c r="C21" s="22" t="s">
        <v>6</v>
      </c>
      <c r="D21" s="23" t="s">
        <v>9</v>
      </c>
    </row>
    <row r="22" hidden="1" customHeight="1" spans="3:4">
      <c r="C22" s="22" t="s">
        <v>7</v>
      </c>
      <c r="D22" s="23" t="s">
        <v>9</v>
      </c>
    </row>
    <row r="23" hidden="1" customHeight="1" spans="3:4">
      <c r="C23" s="22" t="s">
        <v>8</v>
      </c>
      <c r="D23" s="23" t="s">
        <v>9</v>
      </c>
    </row>
    <row r="24" hidden="1" customHeight="1"/>
    <row r="25" hidden="1" customHeight="1"/>
    <row r="26" hidden="1" customHeight="1"/>
    <row r="27" hidden="1" customHeight="1"/>
    <row r="28" hidden="1" customHeight="1" spans="3:3">
      <c r="C28" s="22">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22">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22">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22">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22">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22">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22">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2">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N9" sqref="N9"/>
    </sheetView>
  </sheetViews>
  <sheetFormatPr defaultColWidth="9" defaultRowHeight="14.25" outlineLevelCol="4"/>
  <sheetData>
    <row r="1" spans="1:1">
      <c r="A1" s="17">
        <v>58441</v>
      </c>
    </row>
    <row r="3" spans="1:3">
      <c r="A3" t="s">
        <v>10</v>
      </c>
      <c r="B3">
        <v>1</v>
      </c>
      <c r="C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row r="16" spans="1:5">
      <c r="A16" t="s">
        <v>24</v>
      </c>
      <c r="B16" t="s">
        <v>13</v>
      </c>
      <c r="C16" t="s">
        <v>13</v>
      </c>
      <c r="D16" t="s">
        <v>13</v>
      </c>
      <c r="E16" t="s">
        <v>13</v>
      </c>
    </row>
    <row r="17" spans="1:5">
      <c r="A17" t="s">
        <v>25</v>
      </c>
      <c r="B17" t="s">
        <v>13</v>
      </c>
      <c r="C17" t="s">
        <v>13</v>
      </c>
      <c r="D17" t="s">
        <v>13</v>
      </c>
      <c r="E17"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9"/>
  <sheetViews>
    <sheetView showGridLines="0" workbookViewId="0">
      <selection activeCell="I4" sqref="I4:I9"/>
    </sheetView>
  </sheetViews>
  <sheetFormatPr defaultColWidth="9" defaultRowHeight="20.1" customHeight="1"/>
  <cols>
    <col min="1" max="1" width="3.625" style="3" customWidth="1"/>
    <col min="2" max="2" width="3.625" style="3" hidden="1" customWidth="1"/>
    <col min="3" max="8" width="18.25" style="3" customWidth="1"/>
    <col min="9" max="9" width="27.375" style="16" customWidth="1"/>
    <col min="10" max="11" width="18.25" style="3" customWidth="1"/>
    <col min="12" max="16384" width="9" style="3"/>
  </cols>
  <sheetData>
    <row r="1" s="1" customFormat="1" ht="50.1" customHeight="1" spans="3:11">
      <c r="C1" s="3"/>
      <c r="D1" s="3"/>
      <c r="E1" s="3"/>
      <c r="F1" s="3"/>
      <c r="G1" s="3"/>
      <c r="H1" s="3"/>
      <c r="I1" s="3"/>
      <c r="J1" s="3"/>
      <c r="K1" s="3"/>
    </row>
    <row r="2" s="1" customFormat="1" ht="39.95" customHeight="1" spans="3:11">
      <c r="C2" s="4" t="s">
        <v>26</v>
      </c>
      <c r="D2" s="3"/>
      <c r="E2" s="3"/>
      <c r="F2" s="3"/>
      <c r="G2" s="3"/>
      <c r="H2" s="3"/>
      <c r="I2" s="3"/>
      <c r="J2" s="3"/>
      <c r="K2" s="3"/>
    </row>
    <row r="3" s="2" customFormat="1" ht="30" customHeight="1" spans="3:11">
      <c r="C3" s="5" t="s">
        <v>27</v>
      </c>
      <c r="D3" s="5" t="s">
        <v>28</v>
      </c>
      <c r="E3" s="5" t="s">
        <v>29</v>
      </c>
      <c r="F3" s="5" t="s">
        <v>30</v>
      </c>
      <c r="G3" s="5" t="s">
        <v>31</v>
      </c>
      <c r="H3" s="5" t="s">
        <v>32</v>
      </c>
      <c r="I3" s="5" t="s">
        <v>33</v>
      </c>
      <c r="J3" s="5" t="s">
        <v>34</v>
      </c>
      <c r="K3" s="5" t="s">
        <v>35</v>
      </c>
    </row>
    <row r="4" customHeight="1" spans="2:11">
      <c r="B4" s="3">
        <v>1</v>
      </c>
      <c r="C4" s="3" t="s">
        <v>36</v>
      </c>
      <c r="D4" s="3" t="s">
        <v>36</v>
      </c>
      <c r="E4" s="3" t="s">
        <v>37</v>
      </c>
      <c r="F4" s="3">
        <v>30</v>
      </c>
      <c r="G4" s="3">
        <v>13333333333</v>
      </c>
      <c r="H4" s="3" t="s">
        <v>38</v>
      </c>
      <c r="I4" s="16" t="s">
        <v>39</v>
      </c>
      <c r="J4" s="3" t="s">
        <v>40</v>
      </c>
      <c r="K4" s="3" t="s">
        <v>11</v>
      </c>
    </row>
    <row r="5" customHeight="1" spans="2:11">
      <c r="B5" s="3">
        <v>2</v>
      </c>
      <c r="C5" s="3" t="s">
        <v>41</v>
      </c>
      <c r="D5" s="3" t="s">
        <v>41</v>
      </c>
      <c r="E5" s="3" t="s">
        <v>42</v>
      </c>
      <c r="F5" s="3">
        <v>34</v>
      </c>
      <c r="G5" s="3">
        <v>13222222222</v>
      </c>
      <c r="H5" s="3" t="s">
        <v>43</v>
      </c>
      <c r="I5" s="16" t="s">
        <v>44</v>
      </c>
      <c r="J5" s="3" t="s">
        <v>45</v>
      </c>
      <c r="K5" s="3" t="s">
        <v>46</v>
      </c>
    </row>
    <row r="6" customHeight="1" spans="2:11">
      <c r="B6" s="3">
        <v>41</v>
      </c>
      <c r="C6" s="3" t="s">
        <v>47</v>
      </c>
      <c r="D6" s="3">
        <v>123123</v>
      </c>
      <c r="E6" s="3" t="s">
        <v>48</v>
      </c>
      <c r="F6" s="3">
        <v>23</v>
      </c>
      <c r="G6" s="3">
        <v>18520399024</v>
      </c>
      <c r="H6" s="3" t="s">
        <v>49</v>
      </c>
      <c r="I6" s="16" t="s">
        <v>50</v>
      </c>
      <c r="J6" s="3" t="s">
        <v>40</v>
      </c>
      <c r="K6" s="3" t="s">
        <v>46</v>
      </c>
    </row>
    <row r="7" customHeight="1" spans="2:11">
      <c r="B7" s="3">
        <v>42</v>
      </c>
      <c r="C7" s="3" t="s">
        <v>51</v>
      </c>
      <c r="D7" s="3">
        <v>123123</v>
      </c>
      <c r="E7" s="3" t="s">
        <v>52</v>
      </c>
      <c r="F7" s="3">
        <v>26</v>
      </c>
      <c r="G7" s="3">
        <v>13740299024</v>
      </c>
      <c r="H7" s="3" t="s">
        <v>53</v>
      </c>
      <c r="I7" s="16" t="s">
        <v>54</v>
      </c>
      <c r="J7" s="3" t="s">
        <v>40</v>
      </c>
      <c r="K7" s="3" t="s">
        <v>46</v>
      </c>
    </row>
    <row r="8" customHeight="1" spans="2:11">
      <c r="B8" s="3">
        <v>43</v>
      </c>
      <c r="C8" s="3" t="s">
        <v>55</v>
      </c>
      <c r="D8" s="3">
        <v>123123</v>
      </c>
      <c r="E8" s="3" t="s">
        <v>56</v>
      </c>
      <c r="F8" s="3">
        <v>33</v>
      </c>
      <c r="G8" s="3">
        <v>13808244323</v>
      </c>
      <c r="H8" s="3" t="s">
        <v>53</v>
      </c>
      <c r="I8" s="16" t="s">
        <v>57</v>
      </c>
      <c r="J8" s="3" t="s">
        <v>40</v>
      </c>
      <c r="K8" s="3" t="s">
        <v>46</v>
      </c>
    </row>
    <row r="9" customHeight="1" spans="2:11">
      <c r="B9" s="3">
        <v>44</v>
      </c>
      <c r="C9" s="3" t="s">
        <v>58</v>
      </c>
      <c r="D9" s="3">
        <v>123123</v>
      </c>
      <c r="E9" s="3" t="s">
        <v>59</v>
      </c>
      <c r="F9" s="3">
        <v>35</v>
      </c>
      <c r="G9" s="3">
        <v>18583900010</v>
      </c>
      <c r="H9" s="3" t="s">
        <v>49</v>
      </c>
      <c r="I9" s="16" t="s">
        <v>60</v>
      </c>
      <c r="J9" s="3" t="s">
        <v>40</v>
      </c>
      <c r="K9" s="3" t="s">
        <v>46</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I4:I1048576">
    <cfRule type="expression" dxfId="0" priority="3">
      <formula>MOD(ROW(),2)=1</formula>
    </cfRule>
  </conditionalFormatting>
  <conditionalFormatting sqref="J4:J1048576">
    <cfRule type="expression" dxfId="0" priority="2">
      <formula>MOD(ROW(),2)=1</formula>
    </cfRule>
  </conditionalFormatting>
  <conditionalFormatting sqref="K4:K1048576">
    <cfRule type="expression" dxfId="0" priority="1">
      <formula>MOD(ROW(),2)=1</formula>
    </cfRule>
  </conditionalFormatting>
  <conditionalFormatting sqref="C4:E1048576">
    <cfRule type="expression" dxfId="0" priority="7">
      <formula>MOD(ROW(),2)=1</formula>
    </cfRule>
  </conditionalFormatting>
  <dataValidations count="2">
    <dataValidation type="list" allowBlank="1" showInputMessage="1" showErrorMessage="1" sqref="K4 K5:K9 K10:K1048576">
      <formula1>"正常,禁用"</formula1>
    </dataValidation>
    <dataValidation allowBlank="1" showInputMessage="1" showErrorMessage="1" sqref="F6:I6 J6:J9 A4:E1048576 L4:XFD1048576 F4:J5 F7:I9 F10:J1048576"/>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6"/>
  <sheetViews>
    <sheetView showGridLines="0" topLeftCell="A4" workbookViewId="0">
      <selection activeCell="N9" sqref="N9"/>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4:9">
      <c r="D1" s="3"/>
      <c r="E1" s="3"/>
      <c r="F1" s="3"/>
      <c r="G1" s="3"/>
      <c r="H1" s="3"/>
      <c r="I1" s="3"/>
    </row>
    <row r="2" s="1" customFormat="1" ht="39.95" customHeight="1" spans="4:9">
      <c r="D2" s="4" t="s">
        <v>61</v>
      </c>
      <c r="E2" s="3"/>
      <c r="F2" s="3"/>
      <c r="G2" s="3"/>
      <c r="H2" s="3"/>
      <c r="I2" s="3"/>
    </row>
    <row r="3" s="2" customFormat="1" ht="30" customHeight="1" spans="4:9">
      <c r="D3" s="5" t="s">
        <v>62</v>
      </c>
      <c r="E3" s="5" t="s">
        <v>63</v>
      </c>
      <c r="F3" s="5" t="s">
        <v>64</v>
      </c>
      <c r="G3" s="5" t="s">
        <v>65</v>
      </c>
      <c r="H3" s="5" t="s">
        <v>66</v>
      </c>
      <c r="I3" s="5" t="s">
        <v>67</v>
      </c>
    </row>
    <row r="4" customHeight="1" spans="2:9">
      <c r="B4" s="3">
        <v>1</v>
      </c>
      <c r="C4" s="3">
        <v>1</v>
      </c>
      <c r="D4" s="3" t="s">
        <v>37</v>
      </c>
      <c r="E4" s="3" t="s">
        <v>12</v>
      </c>
      <c r="F4" s="3" t="s">
        <v>13</v>
      </c>
      <c r="G4" s="3" t="s">
        <v>13</v>
      </c>
      <c r="H4" s="3" t="s">
        <v>13</v>
      </c>
      <c r="I4" s="3" t="s">
        <v>13</v>
      </c>
    </row>
    <row r="5" customHeight="1" spans="2:9">
      <c r="B5" s="3">
        <v>2</v>
      </c>
      <c r="C5" s="3">
        <v>1</v>
      </c>
      <c r="D5" s="3" t="s">
        <v>37</v>
      </c>
      <c r="E5" s="3" t="s">
        <v>14</v>
      </c>
      <c r="F5" s="3" t="s">
        <v>13</v>
      </c>
      <c r="G5" s="3" t="s">
        <v>13</v>
      </c>
      <c r="H5" s="3" t="s">
        <v>13</v>
      </c>
      <c r="I5" s="3" t="s">
        <v>13</v>
      </c>
    </row>
    <row r="6" customHeight="1" spans="2:9">
      <c r="B6" s="3">
        <v>6</v>
      </c>
      <c r="C6" s="3">
        <v>1</v>
      </c>
      <c r="D6" s="3" t="s">
        <v>37</v>
      </c>
      <c r="E6" s="3" t="s">
        <v>15</v>
      </c>
      <c r="F6" s="3" t="s">
        <v>13</v>
      </c>
      <c r="G6" s="3" t="s">
        <v>13</v>
      </c>
      <c r="H6" s="3" t="s">
        <v>13</v>
      </c>
      <c r="I6" s="3" t="s">
        <v>13</v>
      </c>
    </row>
    <row r="7" customHeight="1" spans="2:9">
      <c r="B7" s="3">
        <v>7</v>
      </c>
      <c r="C7" s="3">
        <v>1</v>
      </c>
      <c r="D7" s="3" t="s">
        <v>37</v>
      </c>
      <c r="E7" s="3" t="s">
        <v>16</v>
      </c>
      <c r="F7" s="3" t="s">
        <v>13</v>
      </c>
      <c r="G7" s="3" t="s">
        <v>13</v>
      </c>
      <c r="H7" s="3" t="s">
        <v>13</v>
      </c>
      <c r="I7" s="3" t="s">
        <v>13</v>
      </c>
    </row>
    <row r="8" customHeight="1" spans="2:9">
      <c r="B8" s="3">
        <v>8</v>
      </c>
      <c r="C8" s="3">
        <v>1</v>
      </c>
      <c r="D8" s="3" t="s">
        <v>37</v>
      </c>
      <c r="E8" s="3" t="s">
        <v>17</v>
      </c>
      <c r="F8" s="3" t="s">
        <v>13</v>
      </c>
      <c r="G8" s="3" t="s">
        <v>13</v>
      </c>
      <c r="H8" s="3" t="s">
        <v>13</v>
      </c>
      <c r="I8" s="3" t="s">
        <v>13</v>
      </c>
    </row>
    <row r="9" customHeight="1" spans="2:9">
      <c r="B9" s="3">
        <v>9</v>
      </c>
      <c r="C9" s="3">
        <v>1</v>
      </c>
      <c r="D9" s="3" t="s">
        <v>37</v>
      </c>
      <c r="E9" s="3" t="s">
        <v>18</v>
      </c>
      <c r="F9" s="3" t="s">
        <v>13</v>
      </c>
      <c r="G9" s="3" t="s">
        <v>13</v>
      </c>
      <c r="H9" s="3" t="s">
        <v>13</v>
      </c>
      <c r="I9" s="3" t="s">
        <v>13</v>
      </c>
    </row>
    <row r="10" customHeight="1" spans="2:9">
      <c r="B10" s="3">
        <v>10</v>
      </c>
      <c r="C10" s="3">
        <v>1</v>
      </c>
      <c r="D10" s="3" t="s">
        <v>37</v>
      </c>
      <c r="E10" s="3" t="s">
        <v>19</v>
      </c>
      <c r="F10" s="3" t="s">
        <v>13</v>
      </c>
      <c r="G10" s="3" t="s">
        <v>13</v>
      </c>
      <c r="H10" s="3" t="s">
        <v>13</v>
      </c>
      <c r="I10" s="3" t="s">
        <v>13</v>
      </c>
    </row>
    <row r="11" customHeight="1" spans="2:9">
      <c r="B11" s="3">
        <v>11</v>
      </c>
      <c r="C11" s="3">
        <v>1</v>
      </c>
      <c r="D11" s="3" t="s">
        <v>37</v>
      </c>
      <c r="E11" s="3" t="s">
        <v>20</v>
      </c>
      <c r="F11" s="3" t="s">
        <v>13</v>
      </c>
      <c r="G11" s="3" t="s">
        <v>13</v>
      </c>
      <c r="H11" s="3" t="s">
        <v>13</v>
      </c>
      <c r="I11" s="3" t="s">
        <v>13</v>
      </c>
    </row>
    <row r="12" customHeight="1" spans="2:9">
      <c r="B12" s="3">
        <v>12</v>
      </c>
      <c r="C12" s="3">
        <v>1</v>
      </c>
      <c r="D12" s="3" t="s">
        <v>37</v>
      </c>
      <c r="E12" s="3" t="s">
        <v>21</v>
      </c>
      <c r="F12" s="3" t="s">
        <v>13</v>
      </c>
      <c r="G12" s="3" t="s">
        <v>13</v>
      </c>
      <c r="H12" s="3" t="s">
        <v>13</v>
      </c>
      <c r="I12" s="3" t="s">
        <v>13</v>
      </c>
    </row>
    <row r="13" customHeight="1" spans="2:9">
      <c r="B13" s="3">
        <v>13</v>
      </c>
      <c r="C13" s="3">
        <v>1</v>
      </c>
      <c r="D13" s="3" t="s">
        <v>37</v>
      </c>
      <c r="E13" s="3" t="s">
        <v>22</v>
      </c>
      <c r="F13" s="3" t="s">
        <v>13</v>
      </c>
      <c r="G13" s="3" t="s">
        <v>13</v>
      </c>
      <c r="H13" s="3" t="s">
        <v>13</v>
      </c>
      <c r="I13" s="3" t="s">
        <v>13</v>
      </c>
    </row>
    <row r="14" customHeight="1" spans="2:9">
      <c r="B14" s="3">
        <v>14</v>
      </c>
      <c r="C14" s="3">
        <v>1</v>
      </c>
      <c r="D14" s="3" t="s">
        <v>37</v>
      </c>
      <c r="E14" s="3" t="s">
        <v>23</v>
      </c>
      <c r="F14" s="3" t="s">
        <v>13</v>
      </c>
      <c r="G14" s="3" t="s">
        <v>13</v>
      </c>
      <c r="H14" s="3" t="s">
        <v>13</v>
      </c>
      <c r="I14" s="3" t="s">
        <v>13</v>
      </c>
    </row>
    <row r="15" customHeight="1" spans="2:9">
      <c r="B15" s="3">
        <v>15</v>
      </c>
      <c r="C15" s="3">
        <v>1</v>
      </c>
      <c r="D15" s="3" t="s">
        <v>37</v>
      </c>
      <c r="E15" s="3" t="s">
        <v>24</v>
      </c>
      <c r="F15" s="3" t="s">
        <v>13</v>
      </c>
      <c r="G15" s="3" t="s">
        <v>13</v>
      </c>
      <c r="H15" s="3" t="s">
        <v>13</v>
      </c>
      <c r="I15" s="3" t="s">
        <v>13</v>
      </c>
    </row>
    <row r="16" customHeight="1" spans="2:9">
      <c r="B16" s="3">
        <v>30</v>
      </c>
      <c r="C16" s="3">
        <v>1</v>
      </c>
      <c r="D16" s="3" t="s">
        <v>37</v>
      </c>
      <c r="E16" s="3" t="s">
        <v>25</v>
      </c>
      <c r="F16" s="3" t="s">
        <v>13</v>
      </c>
      <c r="G16" s="3" t="s">
        <v>13</v>
      </c>
      <c r="H16" s="3" t="s">
        <v>13</v>
      </c>
      <c r="I16" s="3" t="s">
        <v>13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allowBlank="1" showInputMessage="1" showErrorMessage="1" sqref="C4:C1048576 J4:XFD1048576 A4:B1048576"/>
    <dataValidation type="list" allowBlank="1" showInputMessage="1" showErrorMessage="1" sqref="D4:D10 D11:D15 D16:D1048576">
      <formula1>用户管理!$E$4:$E$65536</formula1>
    </dataValidation>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type="list" allowBlank="1" showInputMessage="1" showErrorMessage="1" sqref="F4:F14 G4:I5 G6:I14 F17:I1048576 F15:I1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H8"/>
  <sheetViews>
    <sheetView showGridLines="0" workbookViewId="0">
      <selection activeCell="G10" sqref="G10"/>
    </sheetView>
  </sheetViews>
  <sheetFormatPr defaultColWidth="9" defaultRowHeight="20.1" customHeight="1" outlineLevelRow="7" outlineLevelCol="7"/>
  <cols>
    <col min="1" max="1" width="3.625" style="3" customWidth="1"/>
    <col min="2" max="2" width="3.625" style="3" hidden="1" customWidth="1"/>
    <col min="3" max="8" width="18.25" style="3" customWidth="1"/>
    <col min="9" max="16384" width="9" style="3"/>
  </cols>
  <sheetData>
    <row r="1" s="1" customFormat="1" ht="50.1" customHeight="1" spans="3:8">
      <c r="C1" s="3"/>
      <c r="D1" s="3"/>
      <c r="E1" s="3"/>
      <c r="F1" s="3"/>
      <c r="G1" s="3"/>
      <c r="H1" s="3"/>
    </row>
    <row r="2" s="1" customFormat="1" ht="39.95" customHeight="1" spans="3:8">
      <c r="C2" s="4" t="s">
        <v>68</v>
      </c>
      <c r="D2" s="3"/>
      <c r="E2" s="3"/>
      <c r="F2" s="3"/>
      <c r="G2" s="3"/>
      <c r="H2" s="3"/>
    </row>
    <row r="3" s="2" customFormat="1" ht="30" customHeight="1" spans="3:8">
      <c r="C3" s="5" t="s">
        <v>69</v>
      </c>
      <c r="D3" s="5" t="s">
        <v>70</v>
      </c>
      <c r="E3" s="5" t="s">
        <v>71</v>
      </c>
      <c r="F3" s="5" t="s">
        <v>72</v>
      </c>
      <c r="G3" s="5" t="s">
        <v>73</v>
      </c>
      <c r="H3" s="5" t="s">
        <v>74</v>
      </c>
    </row>
    <row r="4" customHeight="1" spans="2:8">
      <c r="B4" s="3">
        <v>1</v>
      </c>
      <c r="C4" s="3" t="s">
        <v>75</v>
      </c>
      <c r="D4" s="3" t="s">
        <v>76</v>
      </c>
      <c r="E4" s="3" t="s">
        <v>77</v>
      </c>
      <c r="F4" s="3" t="s">
        <v>78</v>
      </c>
      <c r="G4" s="3" t="s">
        <v>79</v>
      </c>
      <c r="H4" s="3" t="s">
        <v>80</v>
      </c>
    </row>
    <row r="5" customHeight="1" spans="2:8">
      <c r="B5" s="3">
        <v>2</v>
      </c>
      <c r="C5" s="3" t="s">
        <v>81</v>
      </c>
      <c r="D5" s="3" t="s">
        <v>82</v>
      </c>
      <c r="E5" s="3" t="s">
        <v>83</v>
      </c>
      <c r="F5" s="3" t="s">
        <v>84</v>
      </c>
      <c r="G5" s="3" t="s">
        <v>85</v>
      </c>
      <c r="H5" s="3" t="s">
        <v>86</v>
      </c>
    </row>
    <row r="6" customHeight="1" spans="2:8">
      <c r="B6" s="3">
        <v>3</v>
      </c>
      <c r="C6" s="3" t="s">
        <v>87</v>
      </c>
      <c r="D6" s="3" t="s">
        <v>37</v>
      </c>
      <c r="E6" s="3" t="s">
        <v>88</v>
      </c>
      <c r="F6" s="3" t="s">
        <v>89</v>
      </c>
      <c r="G6" s="3" t="s">
        <v>90</v>
      </c>
      <c r="H6" s="3" t="s">
        <v>91</v>
      </c>
    </row>
    <row r="7" customHeight="1" spans="2:8">
      <c r="B7" s="3">
        <v>4</v>
      </c>
      <c r="C7" s="3" t="s">
        <v>92</v>
      </c>
      <c r="D7" s="3" t="s">
        <v>93</v>
      </c>
      <c r="E7" s="3" t="s">
        <v>94</v>
      </c>
      <c r="F7" s="3" t="s">
        <v>95</v>
      </c>
      <c r="G7" s="3" t="s">
        <v>96</v>
      </c>
      <c r="H7" s="3" t="s">
        <v>97</v>
      </c>
    </row>
    <row r="8" customHeight="1" spans="2:8">
      <c r="B8" s="3">
        <v>16</v>
      </c>
      <c r="C8" s="3" t="s">
        <v>98</v>
      </c>
      <c r="D8" s="3" t="s">
        <v>99</v>
      </c>
      <c r="E8" s="3" t="s">
        <v>100</v>
      </c>
      <c r="F8" s="3" t="s">
        <v>101</v>
      </c>
      <c r="G8" s="3" t="s">
        <v>102</v>
      </c>
      <c r="H8" s="3" t="s">
        <v>103</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F4:H1048576 A4:E1048576 I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P9"/>
  <sheetViews>
    <sheetView showGridLines="0" workbookViewId="0">
      <selection activeCell="N9" sqref="N9"/>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16" customWidth="1"/>
    <col min="10" max="16" width="14.5" style="3" customWidth="1"/>
    <col min="17" max="16384" width="9" style="3"/>
  </cols>
  <sheetData>
    <row r="1" s="1" customFormat="1" ht="50.1" customHeight="1" spans="3:16">
      <c r="C1" s="3"/>
      <c r="D1" s="3"/>
      <c r="E1" s="3"/>
      <c r="F1" s="3"/>
      <c r="G1" s="3"/>
      <c r="H1" s="3"/>
      <c r="I1" s="3"/>
      <c r="J1" s="3"/>
      <c r="K1" s="3"/>
      <c r="L1" s="3"/>
      <c r="M1" s="3"/>
      <c r="N1" s="3"/>
      <c r="O1" s="3"/>
      <c r="P1" s="3"/>
    </row>
    <row r="2" s="1" customFormat="1" ht="39.95" customHeight="1" spans="3:16">
      <c r="C2" s="4" t="s">
        <v>104</v>
      </c>
      <c r="D2" s="3"/>
      <c r="E2" s="3"/>
      <c r="F2" s="3"/>
      <c r="G2" s="3"/>
      <c r="H2" s="3"/>
      <c r="I2" s="3"/>
      <c r="J2" s="3"/>
      <c r="K2" s="3"/>
      <c r="L2" s="3"/>
      <c r="M2" s="3"/>
      <c r="N2" s="3"/>
      <c r="O2" s="3"/>
      <c r="P2" s="3"/>
    </row>
    <row r="3" s="2" customFormat="1" ht="30" customHeight="1" spans="3:16">
      <c r="C3" s="5" t="s">
        <v>12</v>
      </c>
      <c r="D3" s="5" t="s">
        <v>105</v>
      </c>
      <c r="E3" s="5" t="s">
        <v>106</v>
      </c>
      <c r="F3" s="5" t="s">
        <v>107</v>
      </c>
      <c r="G3" s="5" t="s">
        <v>70</v>
      </c>
      <c r="H3" s="5" t="s">
        <v>108</v>
      </c>
      <c r="I3" s="5" t="s">
        <v>31</v>
      </c>
      <c r="J3" s="5" t="s">
        <v>109</v>
      </c>
      <c r="K3" s="5" t="s">
        <v>110</v>
      </c>
      <c r="L3" s="5" t="s">
        <v>111</v>
      </c>
      <c r="M3" s="5" t="s">
        <v>112</v>
      </c>
      <c r="N3" s="5" t="s">
        <v>113</v>
      </c>
      <c r="O3" s="5" t="s">
        <v>114</v>
      </c>
      <c r="P3" s="5" t="s">
        <v>35</v>
      </c>
    </row>
    <row r="4" customHeight="1" spans="2:16">
      <c r="B4" s="3">
        <v>13</v>
      </c>
      <c r="C4" s="3" t="s">
        <v>115</v>
      </c>
      <c r="D4" s="3" t="s">
        <v>116</v>
      </c>
      <c r="E4" s="7">
        <v>43837</v>
      </c>
      <c r="F4" s="3" t="s">
        <v>81</v>
      </c>
      <c r="G4" s="3" t="s">
        <v>117</v>
      </c>
      <c r="H4" s="3" t="s">
        <v>118</v>
      </c>
      <c r="I4" s="16" t="s">
        <v>119</v>
      </c>
      <c r="J4" s="3">
        <v>150</v>
      </c>
      <c r="K4" s="3">
        <v>1000</v>
      </c>
      <c r="L4" s="3">
        <v>100</v>
      </c>
      <c r="M4" s="3">
        <v>0</v>
      </c>
      <c r="N4" s="3">
        <v>4</v>
      </c>
      <c r="O4" s="3">
        <v>10</v>
      </c>
      <c r="P4" s="3" t="s">
        <v>83</v>
      </c>
    </row>
    <row r="5" customHeight="1" spans="2:16">
      <c r="B5" s="3">
        <v>16</v>
      </c>
      <c r="C5" s="3" t="s">
        <v>120</v>
      </c>
      <c r="D5" s="3" t="s">
        <v>116</v>
      </c>
      <c r="E5" s="7">
        <v>43606</v>
      </c>
      <c r="F5" s="3" t="s">
        <v>121</v>
      </c>
      <c r="G5" s="3" t="s">
        <v>122</v>
      </c>
      <c r="H5" s="3" t="s">
        <v>123</v>
      </c>
      <c r="I5" s="16" t="s">
        <v>124</v>
      </c>
      <c r="J5" s="3">
        <v>5500</v>
      </c>
      <c r="K5" s="3">
        <v>1000</v>
      </c>
      <c r="L5" s="3">
        <v>5457</v>
      </c>
      <c r="M5" s="3">
        <v>0</v>
      </c>
      <c r="N5" s="3">
        <v>20</v>
      </c>
      <c r="O5" s="3">
        <v>30</v>
      </c>
      <c r="P5" s="3" t="s">
        <v>125</v>
      </c>
    </row>
    <row r="6" customHeight="1" spans="2:16">
      <c r="B6" s="3">
        <v>29</v>
      </c>
      <c r="C6" s="3" t="s">
        <v>126</v>
      </c>
      <c r="D6" s="3" t="s">
        <v>127</v>
      </c>
      <c r="E6" s="7">
        <v>44287</v>
      </c>
      <c r="F6" s="3" t="s">
        <v>98</v>
      </c>
      <c r="G6" s="3" t="s">
        <v>99</v>
      </c>
      <c r="H6" s="3">
        <v>1</v>
      </c>
      <c r="I6" s="16" t="s">
        <v>128</v>
      </c>
      <c r="J6" s="3">
        <v>2000</v>
      </c>
      <c r="K6" s="3">
        <v>1000</v>
      </c>
      <c r="L6" s="3">
        <v>0</v>
      </c>
      <c r="M6" s="3">
        <v>0</v>
      </c>
      <c r="N6" s="3">
        <v>18</v>
      </c>
      <c r="O6" s="3">
        <v>20</v>
      </c>
      <c r="P6" s="3" t="s">
        <v>83</v>
      </c>
    </row>
    <row r="7" customHeight="1" spans="2:16">
      <c r="B7" s="3">
        <v>30</v>
      </c>
      <c r="C7" s="3" t="s">
        <v>129</v>
      </c>
      <c r="D7" s="3" t="s">
        <v>116</v>
      </c>
      <c r="E7" s="7">
        <v>44197</v>
      </c>
      <c r="F7" s="3" t="s">
        <v>75</v>
      </c>
      <c r="G7" s="3" t="s">
        <v>122</v>
      </c>
      <c r="H7" s="3">
        <v>2</v>
      </c>
      <c r="I7" s="16" t="s">
        <v>130</v>
      </c>
      <c r="J7" s="3">
        <v>2000</v>
      </c>
      <c r="K7" s="3">
        <v>500</v>
      </c>
      <c r="L7" s="3">
        <v>0</v>
      </c>
      <c r="M7" s="3">
        <v>45</v>
      </c>
      <c r="N7" s="3">
        <v>0</v>
      </c>
      <c r="O7" s="3">
        <v>20</v>
      </c>
      <c r="P7" s="3" t="s">
        <v>131</v>
      </c>
    </row>
    <row r="8" customHeight="1" spans="2:16">
      <c r="B8" s="3">
        <v>53</v>
      </c>
      <c r="C8" s="3" t="s">
        <v>132</v>
      </c>
      <c r="D8" s="3" t="s">
        <v>127</v>
      </c>
      <c r="E8" s="7">
        <v>44451</v>
      </c>
      <c r="F8" s="3" t="s">
        <v>75</v>
      </c>
      <c r="G8" s="3" t="s">
        <v>122</v>
      </c>
      <c r="H8" s="3">
        <v>1</v>
      </c>
      <c r="I8" s="16" t="s">
        <v>133</v>
      </c>
      <c r="J8" s="3">
        <v>200</v>
      </c>
      <c r="K8" s="3">
        <v>0</v>
      </c>
      <c r="L8" s="3">
        <v>100</v>
      </c>
      <c r="M8" s="3">
        <v>0</v>
      </c>
      <c r="N8" s="3">
        <v>10</v>
      </c>
      <c r="O8" s="3">
        <v>50</v>
      </c>
      <c r="P8" s="3" t="s">
        <v>83</v>
      </c>
    </row>
    <row r="9" customHeight="1" spans="2:16">
      <c r="B9" s="3">
        <v>57</v>
      </c>
      <c r="C9" s="3" t="s">
        <v>134</v>
      </c>
      <c r="D9" s="3" t="s">
        <v>116</v>
      </c>
      <c r="E9" s="7">
        <v>44811</v>
      </c>
      <c r="F9" s="3" t="s">
        <v>75</v>
      </c>
      <c r="G9" s="3" t="s">
        <v>122</v>
      </c>
      <c r="H9" s="3" t="s">
        <v>135</v>
      </c>
      <c r="I9" s="16" t="s">
        <v>136</v>
      </c>
      <c r="J9" s="3">
        <v>3000</v>
      </c>
      <c r="K9" s="3">
        <v>500</v>
      </c>
      <c r="M9" s="3">
        <v>0</v>
      </c>
      <c r="O9" s="3">
        <v>20</v>
      </c>
      <c r="P9" s="3" t="s">
        <v>77</v>
      </c>
    </row>
  </sheetData>
  <conditionalFormatting sqref="F4:F1048576">
    <cfRule type="expression" dxfId="0" priority="11">
      <formula>MOD(ROW(),2)=1</formula>
    </cfRule>
  </conditionalFormatting>
  <conditionalFormatting sqref="G4:G1048576">
    <cfRule type="expression" dxfId="0" priority="10">
      <formula>MOD(ROW(),2)=1</formula>
    </cfRule>
  </conditionalFormatting>
  <conditionalFormatting sqref="H4:H1048576">
    <cfRule type="expression" dxfId="0" priority="9">
      <formula>MOD(ROW(),2)=1</formula>
    </cfRule>
  </conditionalFormatting>
  <conditionalFormatting sqref="I4:I1048576">
    <cfRule type="expression" dxfId="0" priority="8">
      <formula>MOD(ROW(),2)=1</formula>
    </cfRule>
  </conditionalFormatting>
  <conditionalFormatting sqref="J4:J1048576">
    <cfRule type="expression" dxfId="0" priority="7">
      <formula>MOD(ROW(),2)=1</formula>
    </cfRule>
  </conditionalFormatting>
  <conditionalFormatting sqref="K4:K1048576">
    <cfRule type="expression" dxfId="0" priority="6">
      <formula>MOD(ROW(),2)=1</formula>
    </cfRule>
  </conditionalFormatting>
  <conditionalFormatting sqref="L4:L1048576">
    <cfRule type="expression" dxfId="0" priority="5">
      <formula>MOD(ROW(),2)=1</formula>
    </cfRule>
  </conditionalFormatting>
  <conditionalFormatting sqref="M4:M1048576">
    <cfRule type="expression" dxfId="0" priority="4">
      <formula>MOD(ROW(),2)=1</formula>
    </cfRule>
  </conditionalFormatting>
  <conditionalFormatting sqref="N4:N1048576">
    <cfRule type="expression" dxfId="0" priority="3">
      <formula>MOD(ROW(),2)=1</formula>
    </cfRule>
  </conditionalFormatting>
  <conditionalFormatting sqref="O4:O1048576">
    <cfRule type="expression" dxfId="0" priority="2">
      <formula>MOD(ROW(),2)=1</formula>
    </cfRule>
  </conditionalFormatting>
  <conditionalFormatting sqref="P4:P1048576">
    <cfRule type="expression" dxfId="0" priority="1">
      <formula>MOD(ROW(),2)=1</formula>
    </cfRule>
  </conditionalFormatting>
  <conditionalFormatting sqref="C4:E1048576">
    <cfRule type="expression" dxfId="0" priority="12">
      <formula>MOD(ROW(),2)=1</formula>
    </cfRule>
  </conditionalFormatting>
  <dataValidations count="5">
    <dataValidation type="list" allowBlank="1" showInputMessage="1" showErrorMessage="1" sqref="F4:F1048576">
      <formula1>设置!$C$4:$C$65536</formula1>
    </dataValidation>
    <dataValidation allowBlank="1" showInputMessage="1" showErrorMessage="1" sqref="E4:E1048576 H4:H1048576 I4:O1048576 A4:C1048576 Q4:XFD1048576"/>
    <dataValidation type="list" allowBlank="1" showInputMessage="1" showErrorMessage="1" sqref="D4:D1048576">
      <formula1>"男,女"</formula1>
    </dataValidation>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N10"/>
  <sheetViews>
    <sheetView showGridLines="0" workbookViewId="0">
      <selection activeCell="G13" sqref="G13"/>
    </sheetView>
  </sheetViews>
  <sheetFormatPr defaultColWidth="9" defaultRowHeight="20.1" customHeight="1"/>
  <cols>
    <col min="1" max="1" width="3.625" style="3" customWidth="1"/>
    <col min="2" max="2" width="3.625" style="3" hidden="1" customWidth="1"/>
    <col min="3" max="4" width="15.5" style="3" customWidth="1"/>
    <col min="5" max="5" width="20.875" style="16" customWidth="1"/>
    <col min="6" max="6" width="15.5" style="3" customWidth="1"/>
    <col min="7" max="7" width="15.5" style="7" customWidth="1"/>
    <col min="8" max="10" width="15.5" style="3" customWidth="1"/>
    <col min="11" max="11" width="15.5" style="7" customWidth="1"/>
    <col min="12" max="14" width="15.5" style="3" customWidth="1"/>
    <col min="15" max="16384" width="9" style="3"/>
  </cols>
  <sheetData>
    <row r="1" s="1" customFormat="1" ht="50.1" customHeight="1" spans="3:14">
      <c r="C1" s="3"/>
      <c r="D1" s="3"/>
      <c r="E1" s="3"/>
      <c r="F1" s="3"/>
      <c r="G1" s="3"/>
      <c r="H1" s="3"/>
      <c r="I1" s="3"/>
      <c r="J1" s="3"/>
      <c r="K1" s="3"/>
      <c r="L1" s="3"/>
      <c r="M1" s="3"/>
      <c r="N1" s="3"/>
    </row>
    <row r="2" s="1" customFormat="1" ht="39.95" customHeight="1" spans="3:14">
      <c r="C2" s="4" t="s">
        <v>137</v>
      </c>
      <c r="D2" s="3"/>
      <c r="E2" s="3"/>
      <c r="F2" s="3"/>
      <c r="G2" s="3"/>
      <c r="H2" s="3"/>
      <c r="I2" s="3"/>
      <c r="J2" s="3"/>
      <c r="K2" s="3"/>
      <c r="L2" s="3"/>
      <c r="M2" s="3"/>
      <c r="N2" s="3"/>
    </row>
    <row r="3" s="2" customFormat="1" ht="30" customHeight="1" spans="3:14">
      <c r="C3" s="5" t="s">
        <v>138</v>
      </c>
      <c r="D3" s="5" t="s">
        <v>105</v>
      </c>
      <c r="E3" s="5" t="s">
        <v>33</v>
      </c>
      <c r="F3" s="5" t="s">
        <v>139</v>
      </c>
      <c r="G3" s="5" t="s">
        <v>140</v>
      </c>
      <c r="H3" s="5" t="s">
        <v>141</v>
      </c>
      <c r="I3" s="5" t="s">
        <v>34</v>
      </c>
      <c r="J3" s="5" t="s">
        <v>142</v>
      </c>
      <c r="K3" s="5" t="s">
        <v>143</v>
      </c>
      <c r="L3" s="5" t="s">
        <v>144</v>
      </c>
      <c r="M3" s="5" t="s">
        <v>145</v>
      </c>
      <c r="N3" s="5" t="s">
        <v>146</v>
      </c>
    </row>
    <row r="4" customHeight="1" spans="2:14">
      <c r="B4" s="3">
        <v>3</v>
      </c>
      <c r="C4" s="3" t="s">
        <v>147</v>
      </c>
      <c r="D4" s="3" t="s">
        <v>116</v>
      </c>
      <c r="E4" s="16" t="s">
        <v>39</v>
      </c>
      <c r="F4" s="3" t="s">
        <v>148</v>
      </c>
      <c r="G4" s="7">
        <v>44911</v>
      </c>
      <c r="H4" s="3" t="s">
        <v>149</v>
      </c>
      <c r="I4" s="3" t="s">
        <v>150</v>
      </c>
      <c r="J4" s="3">
        <v>13333333333</v>
      </c>
      <c r="K4" s="7">
        <v>44905</v>
      </c>
      <c r="L4" s="3" t="s">
        <v>151</v>
      </c>
      <c r="M4" s="3" t="s">
        <v>152</v>
      </c>
      <c r="N4" s="3" t="s">
        <v>153</v>
      </c>
    </row>
    <row r="5" customHeight="1" spans="2:14">
      <c r="B5" s="3">
        <v>31</v>
      </c>
      <c r="C5" s="3" t="s">
        <v>154</v>
      </c>
      <c r="D5" s="3" t="s">
        <v>116</v>
      </c>
      <c r="E5" s="16" t="s">
        <v>44</v>
      </c>
      <c r="F5" s="3" t="s">
        <v>148</v>
      </c>
      <c r="G5" s="7">
        <v>42753</v>
      </c>
      <c r="H5" s="3" t="s">
        <v>155</v>
      </c>
      <c r="I5" s="3" t="s">
        <v>150</v>
      </c>
      <c r="J5" s="3">
        <v>13333324435</v>
      </c>
      <c r="K5" s="7">
        <v>44573</v>
      </c>
      <c r="L5" s="3" t="s">
        <v>156</v>
      </c>
      <c r="M5" s="3" t="s">
        <v>152</v>
      </c>
      <c r="N5" s="3" t="s">
        <v>153</v>
      </c>
    </row>
    <row r="6" customHeight="1" spans="2:14">
      <c r="B6" s="3">
        <v>32</v>
      </c>
      <c r="C6" s="3" t="s">
        <v>157</v>
      </c>
      <c r="D6" s="3" t="s">
        <v>127</v>
      </c>
      <c r="E6" s="16" t="s">
        <v>50</v>
      </c>
      <c r="F6" s="3" t="s">
        <v>148</v>
      </c>
      <c r="G6" s="7">
        <v>41466</v>
      </c>
      <c r="H6" s="3" t="s">
        <v>155</v>
      </c>
      <c r="I6" s="3" t="s">
        <v>150</v>
      </c>
      <c r="J6" s="3">
        <v>13222222222</v>
      </c>
      <c r="K6" s="7">
        <v>44546</v>
      </c>
      <c r="L6" s="3" t="s">
        <v>156</v>
      </c>
      <c r="M6" s="3" t="s">
        <v>152</v>
      </c>
      <c r="N6" s="3" t="s">
        <v>153</v>
      </c>
    </row>
    <row r="7" customHeight="1" spans="2:14">
      <c r="B7" s="3">
        <v>33</v>
      </c>
      <c r="C7" s="3" t="s">
        <v>158</v>
      </c>
      <c r="D7" s="3" t="s">
        <v>127</v>
      </c>
      <c r="E7" s="16" t="s">
        <v>54</v>
      </c>
      <c r="F7" s="3" t="s">
        <v>148</v>
      </c>
      <c r="G7" s="7">
        <v>40345</v>
      </c>
      <c r="H7" s="3" t="s">
        <v>155</v>
      </c>
      <c r="I7" s="3" t="s">
        <v>150</v>
      </c>
      <c r="J7" s="3">
        <v>18520399024</v>
      </c>
      <c r="K7" s="7">
        <v>43845</v>
      </c>
      <c r="L7" s="3" t="s">
        <v>156</v>
      </c>
      <c r="M7" s="3" t="s">
        <v>152</v>
      </c>
      <c r="N7" s="3" t="s">
        <v>153</v>
      </c>
    </row>
    <row r="8" customHeight="1" spans="2:14">
      <c r="B8" s="3">
        <v>34</v>
      </c>
      <c r="C8" s="3" t="s">
        <v>159</v>
      </c>
      <c r="D8" s="3" t="s">
        <v>116</v>
      </c>
      <c r="E8" s="16" t="s">
        <v>57</v>
      </c>
      <c r="F8" s="3" t="s">
        <v>148</v>
      </c>
      <c r="G8" s="7">
        <v>39465</v>
      </c>
      <c r="H8" s="3" t="s">
        <v>155</v>
      </c>
      <c r="I8" s="3" t="s">
        <v>150</v>
      </c>
      <c r="J8" s="3">
        <v>13740299024</v>
      </c>
      <c r="K8" s="7">
        <v>44029</v>
      </c>
      <c r="L8" s="3" t="s">
        <v>156</v>
      </c>
      <c r="M8" s="3" t="s">
        <v>152</v>
      </c>
      <c r="N8" s="3" t="s">
        <v>153</v>
      </c>
    </row>
    <row r="9" customHeight="1" spans="2:14">
      <c r="B9" s="3">
        <v>35</v>
      </c>
      <c r="C9" s="3" t="s">
        <v>160</v>
      </c>
      <c r="D9" s="3" t="s">
        <v>127</v>
      </c>
      <c r="E9" s="16" t="s">
        <v>60</v>
      </c>
      <c r="F9" s="3" t="s">
        <v>148</v>
      </c>
      <c r="G9" s="7">
        <v>44517</v>
      </c>
      <c r="H9" s="3" t="s">
        <v>155</v>
      </c>
      <c r="I9" s="3" t="s">
        <v>150</v>
      </c>
      <c r="J9" s="3">
        <v>13808244323</v>
      </c>
      <c r="K9" s="7">
        <v>43852</v>
      </c>
      <c r="L9" s="3" t="s">
        <v>156</v>
      </c>
      <c r="M9" s="3" t="s">
        <v>152</v>
      </c>
      <c r="N9" s="3" t="s">
        <v>153</v>
      </c>
    </row>
    <row r="10" customHeight="1" spans="2:14">
      <c r="B10" s="3">
        <v>36</v>
      </c>
      <c r="C10" s="3" t="s">
        <v>161</v>
      </c>
      <c r="D10" s="3" t="s">
        <v>116</v>
      </c>
      <c r="E10" s="16" t="s">
        <v>162</v>
      </c>
      <c r="F10" s="3" t="s">
        <v>148</v>
      </c>
      <c r="G10" s="7">
        <v>44939</v>
      </c>
      <c r="H10" s="3" t="s">
        <v>155</v>
      </c>
      <c r="I10" s="3" t="s">
        <v>150</v>
      </c>
      <c r="J10" s="3">
        <v>18583900010</v>
      </c>
      <c r="K10" s="7">
        <v>44736</v>
      </c>
      <c r="L10" s="3" t="s">
        <v>156</v>
      </c>
      <c r="M10" s="3" t="s">
        <v>152</v>
      </c>
      <c r="N10" s="3" t="s">
        <v>153</v>
      </c>
    </row>
  </sheetData>
  <conditionalFormatting sqref="J4">
    <cfRule type="expression" dxfId="0" priority="57">
      <formula>MOD(ROW(),2)=1</formula>
    </cfRule>
  </conditionalFormatting>
  <conditionalFormatting sqref="E4:E9">
    <cfRule type="expression" dxfId="0" priority="1">
      <formula>MOD(ROW(),2)=1</formula>
    </cfRule>
  </conditionalFormatting>
  <conditionalFormatting sqref="F4:F10">
    <cfRule type="expression" dxfId="0" priority="61">
      <formula>MOD(ROW(),2)=1</formula>
    </cfRule>
  </conditionalFormatting>
  <conditionalFormatting sqref="F11:F1048576">
    <cfRule type="expression" dxfId="0" priority="71">
      <formula>MOD(ROW(),2)=1</formula>
    </cfRule>
  </conditionalFormatting>
  <conditionalFormatting sqref="G4:G10">
    <cfRule type="expression" dxfId="0" priority="60">
      <formula>MOD(ROW(),2)=1</formula>
    </cfRule>
  </conditionalFormatting>
  <conditionalFormatting sqref="G11:G1048576">
    <cfRule type="expression" dxfId="0" priority="70">
      <formula>MOD(ROW(),2)=1</formula>
    </cfRule>
  </conditionalFormatting>
  <conditionalFormatting sqref="H4:H10">
    <cfRule type="expression" dxfId="0" priority="59">
      <formula>MOD(ROW(),2)=1</formula>
    </cfRule>
  </conditionalFormatting>
  <conditionalFormatting sqref="H11:H1048576">
    <cfRule type="expression" dxfId="0" priority="69">
      <formula>MOD(ROW(),2)=1</formula>
    </cfRule>
  </conditionalFormatting>
  <conditionalFormatting sqref="I4:I10">
    <cfRule type="expression" dxfId="0" priority="58">
      <formula>MOD(ROW(),2)=1</formula>
    </cfRule>
  </conditionalFormatting>
  <conditionalFormatting sqref="I11:I1048576">
    <cfRule type="expression" dxfId="0" priority="68">
      <formula>MOD(ROW(),2)=1</formula>
    </cfRule>
  </conditionalFormatting>
  <conditionalFormatting sqref="J5:J10">
    <cfRule type="expression" dxfId="0" priority="2">
      <formula>MOD(ROW(),2)=1</formula>
    </cfRule>
  </conditionalFormatting>
  <conditionalFormatting sqref="J11:J1048576">
    <cfRule type="expression" dxfId="0" priority="67">
      <formula>MOD(ROW(),2)=1</formula>
    </cfRule>
  </conditionalFormatting>
  <conditionalFormatting sqref="K4:K10">
    <cfRule type="expression" dxfId="0" priority="56">
      <formula>MOD(ROW(),2)=1</formula>
    </cfRule>
  </conditionalFormatting>
  <conditionalFormatting sqref="K11:K1048576">
    <cfRule type="expression" dxfId="0" priority="66">
      <formula>MOD(ROW(),2)=1</formula>
    </cfRule>
  </conditionalFormatting>
  <conditionalFormatting sqref="L4:L10">
    <cfRule type="expression" dxfId="0" priority="55">
      <formula>MOD(ROW(),2)=1</formula>
    </cfRule>
  </conditionalFormatting>
  <conditionalFormatting sqref="L11:L1048576">
    <cfRule type="expression" dxfId="0" priority="65">
      <formula>MOD(ROW(),2)=1</formula>
    </cfRule>
  </conditionalFormatting>
  <conditionalFormatting sqref="M4:M10">
    <cfRule type="expression" dxfId="0" priority="54">
      <formula>MOD(ROW(),2)=1</formula>
    </cfRule>
  </conditionalFormatting>
  <conditionalFormatting sqref="M11:M1048576">
    <cfRule type="expression" dxfId="0" priority="64">
      <formula>MOD(ROW(),2)=1</formula>
    </cfRule>
  </conditionalFormatting>
  <conditionalFormatting sqref="N4:N10">
    <cfRule type="expression" dxfId="0" priority="53">
      <formula>MOD(ROW(),2)=1</formula>
    </cfRule>
  </conditionalFormatting>
  <conditionalFormatting sqref="N11:N1048576">
    <cfRule type="expression" dxfId="0" priority="63">
      <formula>MOD(ROW(),2)=1</formula>
    </cfRule>
  </conditionalFormatting>
  <conditionalFormatting sqref="C4:D9 C10:E10">
    <cfRule type="expression" dxfId="0" priority="62">
      <formula>MOD(ROW(),2)=1</formula>
    </cfRule>
  </conditionalFormatting>
  <conditionalFormatting sqref="C11:E1048576">
    <cfRule type="expression" dxfId="0" priority="72">
      <formula>MOD(ROW(),2)=1</formula>
    </cfRule>
  </conditionalFormatting>
  <dataValidations count="4">
    <dataValidation type="list" allowBlank="1" showInputMessage="1" showErrorMessage="1" sqref="D4:D10 D11:D1048576">
      <formula1>"男,女"</formula1>
    </dataValidation>
    <dataValidation allowBlank="1" showInputMessage="1" showErrorMessage="1" sqref="H4 J4 O4:XFD4 O5:XFD5 E6 O6:XFD6 J7 O7:XFD7 O8:XFD8 O9:XFD9 E10 O10:XFD10 E4:E5 E7:E9 E11:E1048576 F4:F10 G4:G10 H5:H10 I4:I10 J5:J6 J8:J10 K4:K10 M4:M10 N4:N10 A4:B1048576 F11:H1048576 I11:K1048576 M11:XFD1048576"/>
    <dataValidation type="list" allowBlank="1" showInputMessage="1" showErrorMessage="1" sqref="L4 L5:L10 L11:L1048576">
      <formula1>"在职,离职"</formula1>
    </dataValidation>
    <dataValidation type="list" allowBlank="1" showInputMessage="1" sqref="C4:C10 C11:C1048576">
      <formula1>设置!$D$4:$D$65536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0"/>
  <sheetViews>
    <sheetView showGridLines="0" workbookViewId="0">
      <selection activeCell="D11" sqref="D11"/>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3:9">
      <c r="C1" s="3"/>
      <c r="D1" s="3"/>
      <c r="E1" s="3"/>
      <c r="F1" s="3"/>
      <c r="G1" s="3"/>
      <c r="H1" s="3"/>
      <c r="I1" s="3"/>
    </row>
    <row r="2" s="1" customFormat="1" ht="39.95" customHeight="1" spans="3:9">
      <c r="C2" s="4" t="s">
        <v>163</v>
      </c>
      <c r="D2" s="3"/>
      <c r="E2" s="3"/>
      <c r="F2" s="3"/>
      <c r="G2" s="3"/>
      <c r="H2" s="3"/>
      <c r="I2" s="3"/>
    </row>
    <row r="3" s="2" customFormat="1" ht="30" customHeight="1" spans="3:9">
      <c r="C3" s="5" t="s">
        <v>164</v>
      </c>
      <c r="D3" s="5" t="s">
        <v>165</v>
      </c>
      <c r="E3" s="5" t="s">
        <v>166</v>
      </c>
      <c r="F3" s="5" t="s">
        <v>167</v>
      </c>
      <c r="G3" s="5" t="s">
        <v>72</v>
      </c>
      <c r="H3" s="5" t="s">
        <v>168</v>
      </c>
      <c r="I3" s="5" t="s">
        <v>169</v>
      </c>
    </row>
    <row r="4" customHeight="1" spans="2:9">
      <c r="B4" s="3">
        <v>8</v>
      </c>
      <c r="C4" s="7">
        <v>44287</v>
      </c>
      <c r="D4" s="3" t="s">
        <v>134</v>
      </c>
      <c r="E4" s="3">
        <v>500</v>
      </c>
      <c r="F4" s="3">
        <v>2000</v>
      </c>
      <c r="G4" s="3" t="s">
        <v>170</v>
      </c>
      <c r="H4" s="3" t="s">
        <v>76</v>
      </c>
      <c r="I4" s="3" t="s">
        <v>171</v>
      </c>
    </row>
    <row r="5" customHeight="1" spans="2:8">
      <c r="B5" s="3">
        <v>9</v>
      </c>
      <c r="C5" s="7">
        <v>44197</v>
      </c>
      <c r="D5" s="3" t="s">
        <v>129</v>
      </c>
      <c r="E5" s="3">
        <v>500</v>
      </c>
      <c r="F5" s="3">
        <v>2000</v>
      </c>
      <c r="G5" s="3" t="s">
        <v>172</v>
      </c>
      <c r="H5" s="3" t="s">
        <v>76</v>
      </c>
    </row>
    <row r="6" customHeight="1" spans="2:8">
      <c r="B6" s="3">
        <v>10</v>
      </c>
      <c r="C6" s="7">
        <v>44378</v>
      </c>
      <c r="D6" s="3" t="s">
        <v>173</v>
      </c>
      <c r="E6" s="3">
        <v>1500</v>
      </c>
      <c r="F6" s="3">
        <v>2000</v>
      </c>
      <c r="G6" s="3" t="s">
        <v>174</v>
      </c>
      <c r="H6" s="3" t="s">
        <v>99</v>
      </c>
    </row>
    <row r="7" customHeight="1" spans="2:8">
      <c r="B7" s="3">
        <v>32</v>
      </c>
      <c r="C7" s="7">
        <v>44800</v>
      </c>
      <c r="D7" s="3" t="s">
        <v>115</v>
      </c>
      <c r="E7" s="3">
        <v>1000</v>
      </c>
      <c r="F7" s="3">
        <v>1000</v>
      </c>
      <c r="G7" s="3" t="s">
        <v>174</v>
      </c>
      <c r="H7" s="3" t="s">
        <v>175</v>
      </c>
    </row>
    <row r="8" customHeight="1" spans="2:8">
      <c r="B8" s="3">
        <v>33</v>
      </c>
      <c r="C8" s="7">
        <v>44800</v>
      </c>
      <c r="D8" s="3" t="s">
        <v>120</v>
      </c>
      <c r="E8" s="3">
        <v>1000</v>
      </c>
      <c r="F8" s="3">
        <v>1000</v>
      </c>
      <c r="G8" s="3" t="s">
        <v>176</v>
      </c>
      <c r="H8" s="3" t="s">
        <v>175</v>
      </c>
    </row>
    <row r="9" customHeight="1" spans="2:8">
      <c r="B9" s="3">
        <v>34</v>
      </c>
      <c r="C9" s="7">
        <v>44800</v>
      </c>
      <c r="D9" s="3" t="s">
        <v>126</v>
      </c>
      <c r="E9" s="3">
        <v>1000</v>
      </c>
      <c r="F9" s="3">
        <v>1000</v>
      </c>
      <c r="G9" s="3" t="s">
        <v>172</v>
      </c>
      <c r="H9" s="3" t="s">
        <v>175</v>
      </c>
    </row>
    <row r="10" customHeight="1" spans="2:8">
      <c r="B10" s="3">
        <v>35</v>
      </c>
      <c r="C10" s="7">
        <v>44786</v>
      </c>
      <c r="D10" s="3" t="s">
        <v>177</v>
      </c>
      <c r="E10" s="3">
        <v>1000</v>
      </c>
      <c r="F10" s="3">
        <v>1000</v>
      </c>
      <c r="G10" s="3" t="s">
        <v>172</v>
      </c>
      <c r="H10" s="3" t="s">
        <v>175</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allowBlank="1" showInputMessage="1" showErrorMessage="1" sqref="A4:B1048576 C4:F1048576 J4:XFD1048576 H4:I1048576"/>
    <dataValidation type="list" allowBlank="1" showInputMessage="1" showErrorMessage="1" sqref="G4:G1048576">
      <formula1>设置!$F$4:$F$65536</formula1>
    </dataValidation>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N9" sqref="N9"/>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178</v>
      </c>
      <c r="D2" s="3"/>
      <c r="E2" s="3"/>
      <c r="F2" s="3"/>
    </row>
    <row r="4" s="11" customFormat="1" ht="18" customHeight="1" spans="3:4">
      <c r="C4" s="12" t="s">
        <v>164</v>
      </c>
      <c r="D4" s="12">
        <v>44378</v>
      </c>
    </row>
    <row r="5" s="11" customFormat="1" ht="18" customHeight="1" spans="3:4">
      <c r="C5" s="13"/>
      <c r="D5" s="13"/>
    </row>
    <row r="6" s="11" customFormat="1" ht="18" customHeight="1" spans="3:4">
      <c r="C6" s="12" t="s">
        <v>165</v>
      </c>
      <c r="D6" s="14" t="s">
        <v>173</v>
      </c>
    </row>
    <row r="7" s="11" customFormat="1" ht="18" customHeight="1" spans="3:4">
      <c r="C7" s="13"/>
      <c r="D7" s="15"/>
    </row>
    <row r="8" s="11" customFormat="1" ht="18" customHeight="1" spans="3:4">
      <c r="C8" s="12" t="s">
        <v>166</v>
      </c>
      <c r="D8" s="14">
        <v>1500</v>
      </c>
    </row>
    <row r="9" s="11" customFormat="1" ht="18" customHeight="1" spans="3:4">
      <c r="C9" s="13"/>
      <c r="D9" s="15"/>
    </row>
    <row r="10" s="11" customFormat="1" ht="18" customHeight="1" spans="3:4">
      <c r="C10" s="12" t="s">
        <v>167</v>
      </c>
      <c r="D10" s="14">
        <v>2000</v>
      </c>
    </row>
    <row r="11" s="11" customFormat="1" ht="18" customHeight="1" spans="3:4">
      <c r="C11" s="13"/>
      <c r="D11" s="15"/>
    </row>
    <row r="12" s="11" customFormat="1" ht="18" customHeight="1" spans="3:4">
      <c r="C12" s="12" t="s">
        <v>72</v>
      </c>
      <c r="D12" s="14" t="s">
        <v>174</v>
      </c>
    </row>
    <row r="13" s="11" customFormat="1" ht="18" customHeight="1" spans="3:4">
      <c r="C13" s="13"/>
      <c r="D13" s="15"/>
    </row>
    <row r="14" s="11" customFormat="1" ht="18" customHeight="1" spans="3:4">
      <c r="C14" s="12" t="s">
        <v>168</v>
      </c>
      <c r="D14" s="14" t="s">
        <v>99</v>
      </c>
    </row>
    <row r="15" s="11" customFormat="1" ht="18" customHeight="1" spans="3:4">
      <c r="C15" s="13"/>
      <c r="D15" s="15"/>
    </row>
    <row r="16" s="11" customFormat="1" ht="18" customHeight="1" spans="3:4">
      <c r="C16" s="12" t="s">
        <v>169</v>
      </c>
      <c r="D16" s="14"/>
    </row>
    <row r="17" ht="18" customHeight="1" spans="3:4">
      <c r="C17" s="13"/>
      <c r="D17" s="15"/>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A16:B16 E16:F16 G16:XFD16 A17:B17 E17:F17 G17:XFD17 A18:F1048576 A3:F15 C16:D17 G3:XFD15 G18: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0"/>
  <sheetViews>
    <sheetView showGridLines="0" workbookViewId="0">
      <selection activeCell="N9" sqref="N9"/>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3:8">
      <c r="C1" s="3"/>
      <c r="D1" s="3"/>
      <c r="E1" s="3"/>
      <c r="F1" s="3"/>
      <c r="G1" s="3"/>
      <c r="H1" s="3"/>
    </row>
    <row r="2" s="1" customFormat="1" ht="39.95" customHeight="1" spans="3:8">
      <c r="C2" s="4" t="s">
        <v>179</v>
      </c>
      <c r="D2" s="3"/>
      <c r="E2" s="3"/>
      <c r="F2" s="3"/>
      <c r="G2" s="3"/>
      <c r="H2" s="3"/>
    </row>
    <row r="3" s="2" customFormat="1" ht="30" customHeight="1" spans="3:8">
      <c r="C3" s="5" t="s">
        <v>164</v>
      </c>
      <c r="D3" s="5" t="s">
        <v>165</v>
      </c>
      <c r="E3" s="5" t="s">
        <v>107</v>
      </c>
      <c r="F3" s="5" t="s">
        <v>180</v>
      </c>
      <c r="G3" s="5" t="s">
        <v>70</v>
      </c>
      <c r="H3" s="5" t="s">
        <v>181</v>
      </c>
    </row>
    <row r="4" customHeight="1" spans="2:8">
      <c r="B4" s="3">
        <v>13</v>
      </c>
      <c r="C4" s="7">
        <v>44317</v>
      </c>
      <c r="D4" s="3" t="s">
        <v>134</v>
      </c>
      <c r="E4" s="3" t="s">
        <v>98</v>
      </c>
      <c r="F4" s="3">
        <v>20</v>
      </c>
      <c r="G4" s="3" t="s">
        <v>99</v>
      </c>
      <c r="H4" s="3">
        <v>10</v>
      </c>
    </row>
    <row r="5" customHeight="1" spans="2:8">
      <c r="B5" s="3">
        <v>14</v>
      </c>
      <c r="C5" s="7">
        <v>44287</v>
      </c>
      <c r="D5" s="3" t="s">
        <v>129</v>
      </c>
      <c r="E5" s="3" t="s">
        <v>75</v>
      </c>
      <c r="F5" s="3">
        <v>45</v>
      </c>
      <c r="G5" s="3" t="s">
        <v>82</v>
      </c>
      <c r="H5" s="3">
        <v>45</v>
      </c>
    </row>
    <row r="6" customHeight="1" spans="2:8">
      <c r="B6" s="3">
        <v>29</v>
      </c>
      <c r="C6" s="7">
        <v>44427</v>
      </c>
      <c r="D6" s="3" t="s">
        <v>173</v>
      </c>
      <c r="E6" s="3" t="s">
        <v>75</v>
      </c>
      <c r="F6" s="3">
        <v>4</v>
      </c>
      <c r="G6" s="3" t="s">
        <v>82</v>
      </c>
      <c r="H6" s="3">
        <v>50</v>
      </c>
    </row>
    <row r="7" customHeight="1" spans="2:8">
      <c r="B7" s="3">
        <v>31</v>
      </c>
      <c r="C7" s="7">
        <v>44427</v>
      </c>
      <c r="D7" s="3" t="s">
        <v>173</v>
      </c>
      <c r="E7" s="3" t="s">
        <v>75</v>
      </c>
      <c r="F7" s="3">
        <v>4</v>
      </c>
      <c r="G7" s="3" t="s">
        <v>82</v>
      </c>
      <c r="H7" s="3">
        <v>100</v>
      </c>
    </row>
    <row r="8" customHeight="1" spans="2:8">
      <c r="B8" s="3">
        <v>37</v>
      </c>
      <c r="C8" s="7">
        <v>44671</v>
      </c>
      <c r="D8" s="3" t="s">
        <v>126</v>
      </c>
      <c r="E8" s="3" t="s">
        <v>75</v>
      </c>
      <c r="F8" s="3">
        <v>4</v>
      </c>
      <c r="G8" s="3" t="s">
        <v>99</v>
      </c>
      <c r="H8" s="3">
        <v>50</v>
      </c>
    </row>
    <row r="9" customHeight="1" spans="2:8">
      <c r="B9" s="3">
        <v>38</v>
      </c>
      <c r="C9" s="7">
        <v>44671</v>
      </c>
      <c r="D9" s="3" t="s">
        <v>132</v>
      </c>
      <c r="E9" s="3" t="s">
        <v>182</v>
      </c>
      <c r="F9" s="3">
        <v>8</v>
      </c>
      <c r="G9" s="3" t="s">
        <v>82</v>
      </c>
      <c r="H9" s="3">
        <v>90</v>
      </c>
    </row>
    <row r="10" customHeight="1" spans="2:8">
      <c r="B10" s="3">
        <v>47</v>
      </c>
      <c r="C10" s="7">
        <v>44869</v>
      </c>
      <c r="D10" s="3" t="s">
        <v>115</v>
      </c>
      <c r="E10" s="3" t="s">
        <v>98</v>
      </c>
      <c r="F10" s="3">
        <v>1</v>
      </c>
      <c r="G10" s="3" t="s">
        <v>37</v>
      </c>
      <c r="H10" s="3">
        <v>10</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allowBlank="1" showInputMessage="1" showErrorMessage="1" sqref="F4:F1048576 H4:H1048576 A4:B1048576 C4:D1048576 I4:XFD1048576"/>
    <dataValidation type="list" allowBlank="1" showInputMessage="1" showErrorMessage="1" sqref="E4:E1048576">
      <formula1>设置!$C$4:$C$65536</formula1>
    </dataValidation>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0"/>
  <sheetViews>
    <sheetView showGridLines="0" workbookViewId="0">
      <selection activeCell="N9" sqref="N9"/>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3:10">
      <c r="C1" s="3"/>
      <c r="D1" s="3"/>
      <c r="E1" s="3"/>
      <c r="F1" s="3"/>
      <c r="G1" s="3"/>
      <c r="H1" s="3"/>
      <c r="I1" s="3"/>
      <c r="J1" s="3"/>
    </row>
    <row r="2" s="1" customFormat="1" ht="39.95" customHeight="1" spans="3:10">
      <c r="C2" s="4" t="s">
        <v>183</v>
      </c>
      <c r="D2" s="3"/>
      <c r="E2" s="3"/>
      <c r="F2" s="3"/>
      <c r="G2" s="3"/>
      <c r="H2" s="3"/>
      <c r="I2" s="3"/>
      <c r="J2" s="3"/>
    </row>
    <row r="3" s="1" customFormat="1" ht="24.95" customHeight="1" spans="3:10">
      <c r="C3" s="8" t="s">
        <v>164</v>
      </c>
      <c r="D3" s="8" t="s">
        <v>184</v>
      </c>
      <c r="E3" s="8"/>
      <c r="F3" s="8"/>
      <c r="G3" s="8" t="s">
        <v>185</v>
      </c>
      <c r="H3" s="8"/>
      <c r="I3" s="8"/>
      <c r="J3" s="8" t="s">
        <v>186</v>
      </c>
    </row>
    <row r="4" s="2" customFormat="1" ht="24.95" customHeight="1" spans="3:10">
      <c r="C4" s="8"/>
      <c r="D4" s="8" t="s">
        <v>187</v>
      </c>
      <c r="E4" s="8" t="s">
        <v>188</v>
      </c>
      <c r="F4" s="8" t="s">
        <v>169</v>
      </c>
      <c r="G4" s="8" t="s">
        <v>187</v>
      </c>
      <c r="H4" s="8" t="s">
        <v>188</v>
      </c>
      <c r="I4" s="8" t="s">
        <v>169</v>
      </c>
      <c r="J4" s="8"/>
    </row>
    <row r="5" customHeight="1" spans="2:13">
      <c r="B5" s="3">
        <v>42</v>
      </c>
      <c r="C5" s="7">
        <v>44775</v>
      </c>
      <c r="D5" s="3">
        <v>2000</v>
      </c>
      <c r="F5" s="3" t="s">
        <v>174</v>
      </c>
      <c r="G5" s="3">
        <v>1000</v>
      </c>
      <c r="H5" s="3" t="s">
        <v>176</v>
      </c>
      <c r="I5" s="3" t="s">
        <v>176</v>
      </c>
      <c r="J5" s="3" t="s">
        <v>76</v>
      </c>
      <c r="L5" s="9" t="s">
        <v>189</v>
      </c>
      <c r="M5" s="10">
        <v>0</v>
      </c>
    </row>
    <row r="6" customHeight="1" spans="2:13">
      <c r="B6" s="3">
        <v>43</v>
      </c>
      <c r="C6" s="7">
        <v>44826</v>
      </c>
      <c r="D6" s="3">
        <v>6000</v>
      </c>
      <c r="E6" s="3" t="s">
        <v>109</v>
      </c>
      <c r="F6" s="3" t="s">
        <v>190</v>
      </c>
      <c r="G6" s="3">
        <v>1000</v>
      </c>
      <c r="H6" s="3" t="s">
        <v>191</v>
      </c>
      <c r="I6" s="3" t="s">
        <v>191</v>
      </c>
      <c r="J6" s="3" t="s">
        <v>93</v>
      </c>
      <c r="L6" s="9" t="s">
        <v>192</v>
      </c>
      <c r="M6" s="10">
        <v>0</v>
      </c>
    </row>
    <row r="7" customHeight="1" spans="2:13">
      <c r="B7" s="3">
        <v>44</v>
      </c>
      <c r="C7" s="7">
        <v>44274</v>
      </c>
      <c r="D7" s="3">
        <v>4500</v>
      </c>
      <c r="E7" s="3" t="s">
        <v>193</v>
      </c>
      <c r="F7" s="3" t="s">
        <v>194</v>
      </c>
      <c r="G7" s="3">
        <v>400</v>
      </c>
      <c r="H7" s="3" t="s">
        <v>195</v>
      </c>
      <c r="I7" s="3" t="s">
        <v>196</v>
      </c>
      <c r="J7" s="3" t="s">
        <v>37</v>
      </c>
      <c r="L7" s="9" t="s">
        <v>197</v>
      </c>
      <c r="M7" s="10">
        <v>13500</v>
      </c>
    </row>
    <row r="8" customHeight="1" spans="2:13">
      <c r="B8" s="3">
        <v>45</v>
      </c>
      <c r="C8" s="7">
        <v>44671</v>
      </c>
      <c r="D8" s="3">
        <v>0</v>
      </c>
      <c r="G8" s="3">
        <v>12000</v>
      </c>
      <c r="H8" s="3" t="s">
        <v>21</v>
      </c>
      <c r="I8" s="3" t="s">
        <v>198</v>
      </c>
      <c r="J8" s="3" t="s">
        <v>76</v>
      </c>
      <c r="L8" s="9" t="s">
        <v>199</v>
      </c>
      <c r="M8" s="10">
        <v>14400</v>
      </c>
    </row>
    <row r="9" customHeight="1" spans="2:13">
      <c r="B9" s="3">
        <v>57</v>
      </c>
      <c r="C9" s="7">
        <v>44873</v>
      </c>
      <c r="D9" s="3">
        <v>1000</v>
      </c>
      <c r="E9" s="3" t="s">
        <v>200</v>
      </c>
      <c r="G9" s="3">
        <v>0</v>
      </c>
      <c r="L9" s="9" t="s">
        <v>102</v>
      </c>
      <c r="M9" s="10">
        <v>6000</v>
      </c>
    </row>
    <row r="10" customHeight="1" spans="12:13">
      <c r="L10" s="9" t="s">
        <v>201</v>
      </c>
      <c r="M10" s="10">
        <v>-900</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allowBlank="1" showInputMessage="1" showErrorMessage="1" sqref="C5:C1048576 D5:D1048576 I5:I1048576 A5:B1048576 K5:XFD1048576 F5:G1048576"/>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8"/>
  <sheetViews>
    <sheetView showGridLines="0" workbookViewId="0">
      <selection activeCell="N9" sqref="N9"/>
    </sheetView>
  </sheetViews>
  <sheetFormatPr defaultColWidth="9" defaultRowHeight="20.1" customHeight="1" outlineLevelRow="7"/>
  <cols>
    <col min="1" max="1" width="3.625" style="3" customWidth="1"/>
    <col min="2" max="2" width="3.625" style="3" hidden="1" customWidth="1"/>
    <col min="3" max="4" width="18" style="3" customWidth="1"/>
    <col min="5" max="5" width="18" style="7" customWidth="1"/>
    <col min="6" max="10" width="18" style="3" customWidth="1"/>
    <col min="11" max="16384" width="9" style="3"/>
  </cols>
  <sheetData>
    <row r="1" s="1" customFormat="1" ht="50.1" customHeight="1" spans="3:10">
      <c r="C1" s="3"/>
      <c r="D1" s="3"/>
      <c r="E1" s="3"/>
      <c r="F1" s="3"/>
      <c r="G1" s="3"/>
      <c r="H1" s="3"/>
      <c r="I1" s="3"/>
      <c r="J1" s="3"/>
    </row>
    <row r="2" s="1" customFormat="1" ht="39.95" customHeight="1" spans="3:10">
      <c r="C2" s="4" t="s">
        <v>202</v>
      </c>
      <c r="D2" s="3"/>
      <c r="E2" s="3"/>
      <c r="F2" s="3"/>
      <c r="G2" s="3"/>
      <c r="H2" s="3"/>
      <c r="I2" s="3"/>
      <c r="J2" s="3"/>
    </row>
    <row r="3" s="2" customFormat="1" ht="30" customHeight="1" spans="3:10">
      <c r="C3" s="5" t="s">
        <v>165</v>
      </c>
      <c r="D3" s="5" t="s">
        <v>203</v>
      </c>
      <c r="E3" s="5" t="s">
        <v>204</v>
      </c>
      <c r="F3" s="5" t="s">
        <v>107</v>
      </c>
      <c r="G3" s="5" t="s">
        <v>70</v>
      </c>
      <c r="H3" s="5" t="s">
        <v>108</v>
      </c>
      <c r="I3" s="5" t="s">
        <v>31</v>
      </c>
      <c r="J3" s="5" t="s">
        <v>113</v>
      </c>
    </row>
    <row r="4" customHeight="1" spans="2:9">
      <c r="B4" s="3">
        <v>9</v>
      </c>
      <c r="C4" s="3" t="s">
        <v>205</v>
      </c>
      <c r="D4" s="3">
        <v>111</v>
      </c>
      <c r="E4" s="7">
        <v>43466</v>
      </c>
      <c r="F4" s="3" t="s">
        <v>206</v>
      </c>
      <c r="G4" s="3" t="s">
        <v>207</v>
      </c>
      <c r="H4" s="3" t="s">
        <v>208</v>
      </c>
      <c r="I4" s="3">
        <v>11111111</v>
      </c>
    </row>
    <row r="5" customHeight="1" spans="2:10">
      <c r="B5" s="3">
        <v>13</v>
      </c>
      <c r="C5" s="3" t="s">
        <v>115</v>
      </c>
      <c r="D5" s="3">
        <v>100</v>
      </c>
      <c r="E5" s="7">
        <v>43837</v>
      </c>
      <c r="F5" s="3" t="s">
        <v>81</v>
      </c>
      <c r="G5" s="3" t="s">
        <v>117</v>
      </c>
      <c r="H5" s="3" t="s">
        <v>118</v>
      </c>
      <c r="I5" s="3">
        <v>123456789</v>
      </c>
      <c r="J5" s="3">
        <v>4</v>
      </c>
    </row>
    <row r="6" customHeight="1" spans="2:10">
      <c r="B6" s="3">
        <v>14</v>
      </c>
      <c r="C6" s="3" t="s">
        <v>209</v>
      </c>
      <c r="D6" s="3">
        <v>100</v>
      </c>
      <c r="E6" s="7">
        <v>44372</v>
      </c>
      <c r="F6" s="3" t="s">
        <v>75</v>
      </c>
      <c r="G6" s="3" t="s">
        <v>122</v>
      </c>
      <c r="H6" s="3" t="s">
        <v>118</v>
      </c>
      <c r="I6" s="3">
        <v>123123</v>
      </c>
      <c r="J6" s="3">
        <v>4</v>
      </c>
    </row>
    <row r="7" customHeight="1" spans="2:10">
      <c r="B7" s="3">
        <v>53</v>
      </c>
      <c r="C7" s="3" t="s">
        <v>132</v>
      </c>
      <c r="D7" s="3">
        <v>100</v>
      </c>
      <c r="E7" s="7">
        <v>44451</v>
      </c>
      <c r="F7" s="3" t="s">
        <v>75</v>
      </c>
      <c r="G7" s="3" t="s">
        <v>122</v>
      </c>
      <c r="H7" s="3">
        <v>1</v>
      </c>
      <c r="I7" s="3">
        <v>131245125345</v>
      </c>
      <c r="J7" s="3">
        <v>10</v>
      </c>
    </row>
    <row r="8" customHeight="1" spans="2:10">
      <c r="B8" s="3">
        <v>54</v>
      </c>
      <c r="C8" s="3" t="s">
        <v>209</v>
      </c>
      <c r="D8" s="3">
        <v>106</v>
      </c>
      <c r="E8" s="7">
        <v>44456</v>
      </c>
      <c r="F8" s="3" t="s">
        <v>75</v>
      </c>
      <c r="G8" s="3" t="s">
        <v>122</v>
      </c>
      <c r="H8" s="3">
        <v>1</v>
      </c>
      <c r="I8" s="3">
        <v>31142</v>
      </c>
      <c r="J8" s="3">
        <v>49</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I4:XFD1048576 C$1:H$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1"/>
  <sheetViews>
    <sheetView showGridLines="0" workbookViewId="0">
      <selection activeCell="N9" sqref="N9"/>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210</v>
      </c>
      <c r="D2" s="3"/>
      <c r="E2" s="3"/>
      <c r="F2" s="3"/>
      <c r="G2" s="3"/>
    </row>
    <row r="3" s="2" customFormat="1" ht="30" customHeight="1" spans="3:7">
      <c r="C3" s="5" t="s">
        <v>138</v>
      </c>
      <c r="D3" s="5" t="s">
        <v>211</v>
      </c>
      <c r="E3" s="5" t="s">
        <v>212</v>
      </c>
      <c r="F3" s="5" t="s">
        <v>213</v>
      </c>
      <c r="G3" s="5" t="s">
        <v>214</v>
      </c>
    </row>
    <row r="4" customHeight="1" spans="3:7">
      <c r="C4" s="3" t="s">
        <v>99</v>
      </c>
      <c r="D4" s="3" t="s">
        <v>98</v>
      </c>
      <c r="E4" s="3">
        <v>20</v>
      </c>
      <c r="F4" s="3">
        <v>10</v>
      </c>
      <c r="G4" s="3">
        <v>200</v>
      </c>
    </row>
    <row r="5" customHeight="1" spans="3:7">
      <c r="C5" s="3" t="s">
        <v>99</v>
      </c>
      <c r="D5" s="3" t="s">
        <v>75</v>
      </c>
      <c r="E5" s="3">
        <v>4</v>
      </c>
      <c r="F5" s="3">
        <v>50</v>
      </c>
      <c r="G5" s="3">
        <v>200</v>
      </c>
    </row>
    <row r="6" customHeight="1" spans="3:7">
      <c r="C6" s="3" t="s">
        <v>209</v>
      </c>
      <c r="D6" s="3" t="s">
        <v>182</v>
      </c>
      <c r="E6" s="3">
        <v>8</v>
      </c>
      <c r="F6" s="3">
        <v>90</v>
      </c>
      <c r="G6" s="3">
        <v>720</v>
      </c>
    </row>
    <row r="7" customHeight="1" spans="3:7">
      <c r="C7" s="3" t="s">
        <v>122</v>
      </c>
      <c r="D7" s="3" t="s">
        <v>98</v>
      </c>
      <c r="E7" s="3">
        <v>1</v>
      </c>
      <c r="F7" s="3">
        <v>10</v>
      </c>
      <c r="G7" s="3">
        <v>10</v>
      </c>
    </row>
    <row r="8" customHeight="1" spans="3:7">
      <c r="C8" s="3" t="s">
        <v>122</v>
      </c>
      <c r="D8" s="3" t="s">
        <v>75</v>
      </c>
      <c r="E8" s="3">
        <v>45</v>
      </c>
      <c r="F8" s="3">
        <v>45</v>
      </c>
      <c r="G8" s="3">
        <v>2025</v>
      </c>
    </row>
    <row r="9" customHeight="1" spans="3:7">
      <c r="C9" s="3" t="s">
        <v>122</v>
      </c>
      <c r="D9" s="3" t="s">
        <v>75</v>
      </c>
      <c r="E9" s="3">
        <v>8</v>
      </c>
      <c r="F9" s="3">
        <v>50</v>
      </c>
      <c r="G9" s="3">
        <v>400</v>
      </c>
    </row>
    <row r="10" customHeight="1" spans="3:7">
      <c r="C10" s="3" t="s">
        <v>122</v>
      </c>
      <c r="D10" s="3" t="s">
        <v>75</v>
      </c>
      <c r="E10" s="3">
        <v>4</v>
      </c>
      <c r="F10" s="3">
        <v>100</v>
      </c>
      <c r="G10" s="3">
        <v>400</v>
      </c>
    </row>
    <row r="11" customHeight="1" spans="3:7">
      <c r="C11" s="3" t="s">
        <v>117</v>
      </c>
      <c r="D11" s="3" t="s">
        <v>75</v>
      </c>
      <c r="E11" s="3">
        <v>11</v>
      </c>
      <c r="F11" s="3">
        <v>11</v>
      </c>
      <c r="G11" s="3">
        <v>121</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9"/>
  <sheetViews>
    <sheetView showGridLines="0" workbookViewId="0">
      <selection activeCell="N9" sqref="N9"/>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215</v>
      </c>
      <c r="D2" s="3"/>
      <c r="E2" s="3"/>
      <c r="F2" s="3"/>
      <c r="G2" s="3"/>
    </row>
    <row r="3" s="2" customFormat="1" ht="30" customHeight="1" spans="3:7">
      <c r="C3" s="5" t="s">
        <v>138</v>
      </c>
      <c r="D3" s="5" t="s">
        <v>211</v>
      </c>
      <c r="E3" s="5" t="s">
        <v>212</v>
      </c>
      <c r="F3" s="5" t="s">
        <v>213</v>
      </c>
      <c r="G3" s="5" t="s">
        <v>214</v>
      </c>
    </row>
    <row r="4" customHeight="1" spans="3:7">
      <c r="C4" s="3" t="s">
        <v>99</v>
      </c>
      <c r="D4" s="3" t="s">
        <v>98</v>
      </c>
      <c r="E4" s="3">
        <v>20</v>
      </c>
      <c r="F4" s="3">
        <v>10</v>
      </c>
      <c r="G4" s="3">
        <v>200</v>
      </c>
    </row>
    <row r="5" customHeight="1" spans="3:7">
      <c r="C5" s="3" t="s">
        <v>99</v>
      </c>
      <c r="D5" s="3" t="s">
        <v>75</v>
      </c>
      <c r="E5" s="3">
        <v>4</v>
      </c>
      <c r="F5" s="3">
        <v>50</v>
      </c>
      <c r="G5" s="3">
        <v>200</v>
      </c>
    </row>
    <row r="6" customHeight="1" spans="3:7">
      <c r="C6" s="3" t="s">
        <v>209</v>
      </c>
      <c r="D6" s="3" t="s">
        <v>182</v>
      </c>
      <c r="E6" s="3">
        <v>8</v>
      </c>
      <c r="F6" s="3">
        <v>90</v>
      </c>
      <c r="G6" s="3">
        <v>720</v>
      </c>
    </row>
    <row r="7" customHeight="1" spans="3:7">
      <c r="C7" s="3" t="s">
        <v>122</v>
      </c>
      <c r="D7" s="3" t="s">
        <v>75</v>
      </c>
      <c r="E7" s="3">
        <v>45</v>
      </c>
      <c r="F7" s="3">
        <v>45</v>
      </c>
      <c r="G7" s="3">
        <v>2025</v>
      </c>
    </row>
    <row r="8" customHeight="1" spans="3:7">
      <c r="C8" s="3" t="s">
        <v>122</v>
      </c>
      <c r="D8" s="3" t="s">
        <v>75</v>
      </c>
      <c r="E8" s="3">
        <v>4</v>
      </c>
      <c r="F8" s="3">
        <v>50</v>
      </c>
      <c r="G8" s="3">
        <v>200</v>
      </c>
    </row>
    <row r="9" customHeight="1" spans="3:7">
      <c r="C9" s="3" t="s">
        <v>122</v>
      </c>
      <c r="D9" s="3" t="s">
        <v>75</v>
      </c>
      <c r="E9" s="3">
        <v>4</v>
      </c>
      <c r="F9" s="3">
        <v>100</v>
      </c>
      <c r="G9" s="3">
        <v>400</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4"/>
  <sheetViews>
    <sheetView showGridLines="0" workbookViewId="0">
      <selection activeCell="M7" sqref="M7"/>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3: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3:38">
      <c r="C2" s="4" t="s">
        <v>216</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3:38">
      <c r="C3" s="5" t="s">
        <v>62</v>
      </c>
      <c r="D3" s="5" t="s">
        <v>217</v>
      </c>
      <c r="E3" s="5" t="s">
        <v>218</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217</v>
      </c>
    </row>
    <row r="4" customHeight="1" spans="2:38">
      <c r="B4" s="3">
        <v>5</v>
      </c>
      <c r="C4" s="3" t="s">
        <v>207</v>
      </c>
      <c r="D4" s="3">
        <v>2022</v>
      </c>
      <c r="E4" s="3" t="s">
        <v>219</v>
      </c>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L4" s="3">
        <v>2020</v>
      </c>
    </row>
    <row r="5" customHeight="1" spans="2:38">
      <c r="B5" s="3">
        <v>6</v>
      </c>
      <c r="C5" s="3" t="s">
        <v>205</v>
      </c>
      <c r="D5" s="3">
        <v>2022</v>
      </c>
      <c r="E5" s="3" t="s">
        <v>219</v>
      </c>
      <c r="F5" s="3" t="s">
        <v>220</v>
      </c>
      <c r="G5" s="3" t="s">
        <v>220</v>
      </c>
      <c r="H5" s="3" t="s">
        <v>220</v>
      </c>
      <c r="I5" s="3" t="s">
        <v>220</v>
      </c>
      <c r="J5" s="3" t="s">
        <v>220</v>
      </c>
      <c r="K5" s="3" t="s">
        <v>220</v>
      </c>
      <c r="L5" s="3" t="s">
        <v>220</v>
      </c>
      <c r="M5" s="3" t="s">
        <v>220</v>
      </c>
      <c r="N5" s="3" t="s">
        <v>220</v>
      </c>
      <c r="O5" s="3" t="s">
        <v>220</v>
      </c>
      <c r="P5" s="3" t="s">
        <v>220</v>
      </c>
      <c r="Q5" s="3" t="s">
        <v>220</v>
      </c>
      <c r="R5" s="3" t="s">
        <v>220</v>
      </c>
      <c r="S5" s="3" t="s">
        <v>220</v>
      </c>
      <c r="T5" s="3" t="s">
        <v>220</v>
      </c>
      <c r="U5" s="3" t="s">
        <v>220</v>
      </c>
      <c r="V5" s="3" t="s">
        <v>220</v>
      </c>
      <c r="W5" s="3" t="s">
        <v>220</v>
      </c>
      <c r="X5" s="3" t="s">
        <v>220</v>
      </c>
      <c r="Y5" s="3" t="s">
        <v>220</v>
      </c>
      <c r="Z5" s="3" t="s">
        <v>220</v>
      </c>
      <c r="AA5" s="3" t="s">
        <v>220</v>
      </c>
      <c r="AB5" s="3" t="s">
        <v>220</v>
      </c>
      <c r="AC5" s="3" t="s">
        <v>220</v>
      </c>
      <c r="AD5" s="3" t="s">
        <v>220</v>
      </c>
      <c r="AE5" s="3" t="s">
        <v>220</v>
      </c>
      <c r="AF5" s="3" t="s">
        <v>220</v>
      </c>
      <c r="AG5" s="3" t="s">
        <v>220</v>
      </c>
      <c r="AH5" s="3" t="s">
        <v>220</v>
      </c>
      <c r="AI5" s="3" t="s">
        <v>220</v>
      </c>
      <c r="AJ5" s="3" t="s">
        <v>220</v>
      </c>
      <c r="AL5" s="3">
        <v>2021</v>
      </c>
    </row>
    <row r="6" customHeight="1" spans="2:38">
      <c r="B6" s="3">
        <v>27</v>
      </c>
      <c r="C6" s="3" t="s">
        <v>221</v>
      </c>
      <c r="D6" s="3">
        <v>2020</v>
      </c>
      <c r="E6" s="3" t="s">
        <v>222</v>
      </c>
      <c r="F6" s="3" t="s">
        <v>220</v>
      </c>
      <c r="AL6" s="3">
        <v>2022</v>
      </c>
    </row>
    <row r="7" customHeight="1" spans="38:38">
      <c r="AL7" s="3">
        <v>2023</v>
      </c>
    </row>
    <row r="9" customHeight="1" spans="38:38">
      <c r="AL9" s="3">
        <v>2025</v>
      </c>
    </row>
    <row r="10" customHeight="1" spans="38:38">
      <c r="AL10" s="3">
        <v>2026</v>
      </c>
    </row>
    <row r="11" customHeight="1" spans="38:38">
      <c r="AL11" s="3">
        <v>2027</v>
      </c>
    </row>
    <row r="12" customHeight="1" spans="38:38">
      <c r="AL12" s="3">
        <v>2028</v>
      </c>
    </row>
    <row r="13" customHeight="1" spans="38:38">
      <c r="AL13" s="3">
        <v>2029</v>
      </c>
    </row>
    <row r="14" customHeight="1" spans="38:38">
      <c r="AL14" s="3">
        <v>2030</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allowBlank="1" showInputMessage="1" showErrorMessage="1" sqref="C3:E3 F3:AJ3 AK4 AM4:XFD4 C4:C1048576 AK5:AK15 AL4:AL15 C1:G2 AM5:XFD15 A4:B1048576 AK16: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 type="list" allowBlank="1" showInputMessage="1" showErrorMessage="1" sqref="F4:AJ1048576">
      <formula1>"出勤,缺勤,请假"</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8"/>
  <sheetViews>
    <sheetView showGridLines="0" workbookViewId="0">
      <selection activeCell="C4" sqref="C4"/>
    </sheetView>
  </sheetViews>
  <sheetFormatPr defaultColWidth="9" defaultRowHeight="20.1" customHeight="1" outlineLevelRow="7" outlineLevelCol="5"/>
  <cols>
    <col min="1" max="1" width="3.625" style="3" customWidth="1"/>
    <col min="2" max="2" width="3.625" style="3" hidden="1" customWidth="1"/>
    <col min="3" max="6" width="20.375" style="3" customWidth="1"/>
    <col min="7" max="16384" width="9" style="3"/>
  </cols>
  <sheetData>
    <row r="1" s="1" customFormat="1" ht="50.1" customHeight="1" spans="3:6">
      <c r="C1" s="3"/>
      <c r="D1" s="3"/>
      <c r="E1" s="3"/>
      <c r="F1" s="3"/>
    </row>
    <row r="2" s="1" customFormat="1" ht="39.95" customHeight="1" spans="3:6">
      <c r="C2" s="4" t="s">
        <v>223</v>
      </c>
      <c r="D2" s="3"/>
      <c r="E2" s="3"/>
      <c r="F2" s="3"/>
    </row>
    <row r="3" s="2" customFormat="1" ht="30" customHeight="1" spans="3:6">
      <c r="C3" s="5" t="s">
        <v>155</v>
      </c>
      <c r="D3" s="5" t="s">
        <v>224</v>
      </c>
      <c r="E3" s="5" t="s">
        <v>164</v>
      </c>
      <c r="F3" s="5" t="s">
        <v>225</v>
      </c>
    </row>
    <row r="4" customHeight="1" spans="2:6">
      <c r="B4" s="3">
        <v>4</v>
      </c>
      <c r="C4" s="3" t="s">
        <v>122</v>
      </c>
      <c r="D4" s="3" t="s">
        <v>75</v>
      </c>
      <c r="E4" s="6">
        <v>44811</v>
      </c>
      <c r="F4" s="3" t="s">
        <v>226</v>
      </c>
    </row>
    <row r="5" customHeight="1" spans="2:6">
      <c r="B5" s="3">
        <v>5</v>
      </c>
      <c r="C5" s="3" t="s">
        <v>117</v>
      </c>
      <c r="D5" s="3" t="s">
        <v>81</v>
      </c>
      <c r="E5" s="6">
        <v>44815</v>
      </c>
      <c r="F5" s="3" t="s">
        <v>227</v>
      </c>
    </row>
    <row r="6" customHeight="1" spans="2:6">
      <c r="B6" s="3">
        <v>6</v>
      </c>
      <c r="C6" s="3" t="s">
        <v>207</v>
      </c>
      <c r="D6" s="3" t="s">
        <v>87</v>
      </c>
      <c r="E6" s="6">
        <v>44817</v>
      </c>
      <c r="F6" s="3" t="s">
        <v>228</v>
      </c>
    </row>
    <row r="7" customHeight="1" spans="2:6">
      <c r="B7" s="3">
        <v>12</v>
      </c>
      <c r="C7" s="3" t="s">
        <v>173</v>
      </c>
      <c r="D7" s="3" t="s">
        <v>229</v>
      </c>
      <c r="E7" s="6">
        <v>44869</v>
      </c>
      <c r="F7" s="3" t="s">
        <v>230</v>
      </c>
    </row>
    <row r="8" customHeight="1" spans="2:6">
      <c r="B8" s="3">
        <v>15</v>
      </c>
      <c r="C8" s="3" t="s">
        <v>173</v>
      </c>
      <c r="D8" s="3" t="s">
        <v>231</v>
      </c>
      <c r="E8" s="6">
        <v>44879</v>
      </c>
      <c r="F8" s="3" t="s">
        <v>232</v>
      </c>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D4:D1048576">
      <formula1>设置!$C$4:$C$65536</formula1>
    </dataValidation>
    <dataValidation allowBlank="1" showInputMessage="1" showErrorMessage="1" sqref="C3:E3 F3 G4:XFD4 C1:F2 A4:B1048576 E4:F1048576 G5:XFD15 G16:XFD1048576"/>
    <dataValidation type="list" allowBlank="1" showInputMessage="1" showErrorMessage="1" sqref="C4:C1048576">
      <formula1>设置!$D$4:$D$65536</formula1>
    </dataValidation>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2023-02-01T06:46:26Z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